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839b8912b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بدء" sheetId="1" r:id="R41c5977c3e6b41fe"/>
    <x:sheet xmlns:r="http://schemas.openxmlformats.org/officeDocument/2006/relationships" name="المتطلبات" sheetId="2" r:id="R3c50cadbd7504e0b"/>
    <x:sheet xmlns:r="http://schemas.openxmlformats.org/officeDocument/2006/relationships" name="القرارات" sheetId="3" r:id="R16e8a7691e564096"/>
    <x:sheet xmlns:r="http://schemas.openxmlformats.org/officeDocument/2006/relationships" name="اختبارات القبول" sheetId="4" r:id="R64ab67c850ac4992"/>
    <x:sheet xmlns:r="http://schemas.openxmlformats.org/officeDocument/2006/relationships" name="أمثلة التصنيع" sheetId="5" r:id="R3616e26213074615"/>
    <x:sheet xmlns:r="http://schemas.openxmlformats.org/officeDocument/2006/relationships" name="المصادر" sheetId="6" r:id="R87ffd9195785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color rgb="FF17365D"/>
      <x:name val="Carlito"/>
    </x:font>
    <x:font>
      <x:b/>
      <x:sz val="11"/>
      <x:color rgb="FF17365D"/>
      <x:name val="Carlito"/>
    </x:font>
    <x:font>
      <x:b/>
      <x:sz val="12"/>
      <x:color rgb="FF0F6B78"/>
      <x:name val="Carlito"/>
    </x:font>
    <x:font>
      <x:sz val="9"/>
      <x:name val="Carlito"/>
    </x:font>
    <x:font>
      <x:b/>
      <x:sz val="9"/>
      <x:color rgb="FF17365D"/>
      <x:name val="Carlito"/>
    </x:font>
    <x:font>
      <x:b/>
      <x:sz val="10"/>
      <x:color rgb="FFFFFFFF"/>
      <x:name val="Carlito"/>
    </x:font>
    <x:font>
      <x:sz val="9"/>
      <x:color rgb="FF202124"/>
      <x:name val="Carlito"/>
    </x:font>
    <x:font>
      <x:i/>
      <x:sz val="9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0F6B78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right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right" wrapText="1"/>
    </x:xf>
    <x:xf numFmtId="0" fontId="1" fillId="2" borderId="1" xfId="0" applyNumberFormat="1" applyFont="1" applyFill="1" applyBorder="1" applyAlignment="1">
      <x:alignment horizontal="righ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right" wrapText="1"/>
    </x:xf>
    <x:xf numFmtId="0" fontId="2" fillId="3" borderId="1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horizont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horizont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horizontal="right" vertical="center" wrapText="1"/>
    </x:xf>
    <x:xf numFmtId="0" fontId="12" fillId="3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d2bcc43754858" /><Relationship Type="http://schemas.openxmlformats.org/officeDocument/2006/relationships/theme" Target="/xl/theme/theme1.xml" Id="R2947ae1d7df543a4" /><Relationship Type="http://schemas.openxmlformats.org/officeDocument/2006/relationships/sharedStrings" Target="/xl/sharedStrings.xml" Id="Rb487f8c588694e31" /><Relationship Type="http://schemas.openxmlformats.org/officeDocument/2006/relationships/worksheet" Target="/xl/worksheets/sheet1.xml" Id="R41c5977c3e6b41fe" /><Relationship Type="http://schemas.openxmlformats.org/officeDocument/2006/relationships/worksheet" Target="/xl/worksheets/sheet2.xml" Id="R3c50cadbd7504e0b" /><Relationship Type="http://schemas.openxmlformats.org/officeDocument/2006/relationships/worksheet" Target="/xl/worksheets/sheet3.xml" Id="R16e8a7691e564096" /><Relationship Type="http://schemas.openxmlformats.org/officeDocument/2006/relationships/worksheet" Target="/xl/worksheets/sheet4.xml" Id="R64ab67c850ac4992" /><Relationship Type="http://schemas.openxmlformats.org/officeDocument/2006/relationships/worksheet" Target="/xl/worksheets/sheet5.xml" Id="R3616e26213074615" /><Relationship Type="http://schemas.openxmlformats.org/officeDocument/2006/relationships/worksheet" Target="/xl/worksheets/sheet6.xml" Id="R87ffd91957854f5d" /></Relationships>
</file>

<file path=xl/tables/table1.xml><?xml version="1.0" encoding="utf-8"?>
<x:table xmlns:x="http://schemas.openxmlformats.org/spreadsheetml/2006/main" id="6" name="RequirementsTableConsolidated" displayName="RequirementsTableConsolidated" ref="A4:H74" headerRowCount="1" totalsRowCount="0" totalsRowShown="0">
  <x:tableColumns count="8">
    <x:tableColumn id="1" name="المعرّف"/>
    <x:tableColumn id="2" name="المجال"/>
    <x:tableColumn id="3" name="المتطلب / القرار المسجل"/>
    <x:tableColumn id="4" name="المصدر"/>
    <x:tableColumn id="5" name="الأولوية"/>
    <x:tableColumn id="6" name="الحالة"/>
    <x:tableColumn id="7" name="دليل القبول المطلوب"/>
    <x:tableColumn id="8" name="قرار مرتب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DecisionTableConsolidated" displayName="DecisionTableConsolidated" ref="A4:I36" headerRowCount="1" totalsRowCount="0" totalsRowShown="0">
  <x:tableColumns count="9">
    <x:tableColumn id="1" name="المعرّف"/>
    <x:tableColumn id="2" name="المجال"/>
    <x:tableColumn id="3" name="السؤال / التعارض"/>
    <x:tableColumn id="4" name="المعروف"/>
    <x:tableColumn id="5" name="الإجراء المطلوب"/>
    <x:tableColumn id="6" name="الأولوية"/>
    <x:tableColumn id="7" name="الحالة"/>
    <x:tableColumn id="8" name="أثر عدم الحسم"/>
    <x:tableColumn id="9" name="المصد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Table" displayName="TestTable" ref="A4:G31" headerRowCount="1" totalsRowCount="0" totalsRowShown="0">
  <x:tableColumns count="7">
    <x:tableColumn id="1" name="معرّف الاختبار"/>
    <x:tableColumn id="2" name="المجال"/>
    <x:tableColumn id="3" name="الاختبار"/>
    <x:tableColumn id="4" name="دليل النجاح المطلوب"/>
    <x:tableColumn id="5" name="الأولوية"/>
    <x:tableColumn id="6" name="الحالة"/>
    <x:tableColumn id="7" name="يحجب الإصدار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nufacturingExamplesTable" displayName="ManufacturingExamplesTable" ref="A4:G15" headerRowCount="1" totalsRowCount="0" totalsRowShown="0">
  <x:tableColumns count="7">
    <x:tableColumn id="1" name="العلامة"/>
    <x:tableColumn id="2" name="الموديل"/>
    <x:tableColumn id="3" name="مقاس مرجعي"/>
    <x:tableColumn id="4" name="المكوّن"/>
    <x:tableColumn id="5" name="المقاس/القيمة"/>
    <x:tableColumn id="6" name="المصدر"/>
    <x:tableColumn id="7" name="التحفظ / القرار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4:E18" headerRowCount="1" totalsRowCount="0" totalsRowShown="0">
  <x:tableColumns count="5">
    <x:tableColumn id="1" name="المصدر"/>
    <x:tableColumn id="2" name="النوع"/>
    <x:tableColumn id="3" name="النطاق/الوصف"/>
    <x:tableColumn id="4" name="ما يدعمه"/>
    <x:tableColumn id="5" name="الحدود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74b4a2ac4249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da357fdf8e49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15c554df8b42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4a916e3b9d4b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97fb9880b6474a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72" hidden="0" customWidth="1"/>
    <x:col min="4" max="4" width="28" hidden="0" customWidth="1"/>
    <x:col min="5" max="5" width="16" hidden="0" customWidth="1"/>
    <x:col min="7" max="7" width="25" hidden="0" customWidth="1"/>
    <x:col min="8" max="8" width="48" hidden="0" customWidth="1"/>
  </x:cols>
  <x:sheetData>
    <x:row r="1" ht="32" customHeight="1">
      <x:c r="A1" s="6" t="str">
        <x:v>Sleepee — سجل المتطلبات والقرارات الموحد | v1.0</x:v>
      </x:c>
      <x:c r="B1" s="6"/>
      <x:c r="C1" s="6"/>
      <x:c r="D1" s="6"/>
      <x:c r="E1" s="6"/>
      <x:c r="F1" s="6"/>
      <x:c r="G1" s="6"/>
      <x:c r="H1" s="6"/>
    </x:row>
    <x:row r="2" ht="36" customHeight="1">
      <x:c r="A2" s="74" t="str">
        <x:v>مسودة مراجعة بعد تجميع المحادثة القديمة؛ لا تستبدل المرجعية الأصلية ولا تسمح بتعديل الكود أو قاعدة البيانات.</x:v>
      </x:c>
      <x:c r="B2" s="74"/>
      <x:c r="C2" s="74"/>
      <x:c r="D2" s="74"/>
      <x:c r="E2" s="74"/>
      <x:c r="F2" s="74"/>
      <x:c r="G2" s="74"/>
      <x:c r="H2" s="74"/>
    </x:row>
    <x:row r="4">
      <x:c r="A4" s="25" t="str">
        <x:v>عنصر الحوكمة</x:v>
      </x:c>
      <x:c r="B4" s="25" t="str">
        <x:v>الحالة الحالية</x:v>
      </x:c>
      <x:c r="D4" s="40" t="str">
        <x:v>مؤشر</x:v>
      </x:c>
      <x:c r="E4" s="40" t="str">
        <x:v>العدد</x:v>
      </x:c>
      <x:c r="G4" s="25" t="str">
        <x:v>تصنيف الحالة</x:v>
      </x:c>
      <x:c r="H4" s="25" t="str">
        <x:v>التعريف</x:v>
      </x:c>
    </x:row>
    <x:row r="5" ht="31" customHeight="1">
      <x:c r="A5" s="37" t="str">
        <x:v>المرجعية الأساسية</x:v>
      </x:c>
      <x:c r="B5" s="32" t="str">
        <x:v>Sleepee_Single_Source_Of_Truth_v1.0 — تبقى دون تعديل</x:v>
      </x:c>
      <x:c r="D5" s="43" t="str">
        <x:v>إجمالي المتطلبات</x:v>
      </x:c>
      <x:c r="E5" s="47" t="n">
        <x:f>COUNTA('المتطلبات'!A5:A74)</x:f>
        <x:v>70</x:v>
      </x:c>
      <x:c r="G5" s="57" t="str">
        <x:v>إلزامي من المرجعية</x:v>
      </x:c>
      <x:c r="H5" s="52" t="str">
        <x:v>متطلب ثابت في SSoT الأصلية.</x:v>
      </x:c>
    </x:row>
    <x:row r="6" ht="31" customHeight="1">
      <x:c r="A6" s="37" t="str">
        <x:v>الوثيقة</x:v>
      </x:c>
      <x:c r="B6" s="32" t="str">
        <x:v>Sleepee_Operational_Blueprint_v1.0_DRAFT_AR.docx</x:v>
      </x:c>
      <x:c r="D6" s="43" t="str">
        <x:v>أولوية حرجة</x:v>
      </x:c>
      <x:c r="E6" s="47" t="n">
        <x:f>COUNTIF('المتطلبات'!E5:E74,"حرج")</x:f>
        <x:v>31</x:v>
      </x:c>
      <x:c r="G6" s="57" t="str">
        <x:v>مسجل في الملحق</x:v>
      </x:c>
      <x:c r="H6" s="52" t="str">
        <x:v>توضيح سجل في Review v1.2؛ يراجع ضمن الاعتماد النهائي.</x:v>
      </x:c>
    </x:row>
    <x:row r="7" ht="31" customHeight="1">
      <x:c r="A7" s="37" t="str">
        <x:v>وثيقة التصنيع</x:v>
      </x:c>
      <x:c r="B7" s="32" t="str">
        <x:v>Manufacturing_Design_v1.0_DRAFT_AR.docx</x:v>
      </x:c>
      <x:c r="D7" s="43" t="str">
        <x:v>أولوية عالية</x:v>
      </x:c>
      <x:c r="E7" s="47" t="n">
        <x:f>COUNTIF('المتطلبات'!E5:E74,"عالٍ")</x:f>
        <x:v>33</x:v>
      </x:c>
      <x:c r="G7" s="57" t="str">
        <x:v>مسترجع — يحتاج اعتماد</x:v>
      </x:c>
      <x:c r="H7" s="52" t="str">
        <x:v>مذكور في المحادثة القديمة؛ يبقى موثقًا ولا يعني أنه نُفذ.</x:v>
      </x:c>
    </x:row>
    <x:row r="8" ht="31" customHeight="1">
      <x:c r="A8" s="37" t="str">
        <x:v>وثيقة خدمة العملاء</x:v>
      </x:c>
      <x:c r="B8" s="32" t="str">
        <x:v>Customer_Service_Design_v1.0_DRAFT_AR.docx</x:v>
      </x:c>
      <x:c r="D8" s="43" t="str">
        <x:v>قرارات معلقة</x:v>
      </x:c>
      <x:c r="E8" s="47" t="n">
        <x:f>COUNTIF('القرارات'!G5:G36,"معلّق")</x:f>
        <x:v>29</x:v>
      </x:c>
      <x:c r="G8" s="57" t="str">
        <x:v>اقتراح تصميم</x:v>
      </x:c>
      <x:c r="H8" s="52" t="str">
        <x:v>فكرة تحتاج قرارًا من المالك قبل التنفيذ.</x:v>
      </x:c>
    </x:row>
    <x:row r="9" ht="31" customHeight="1">
      <x:c r="A9" s="37" t="str">
        <x:v>المرحلة</x:v>
      </x:c>
      <x:c r="B9" s="32" t="str">
        <x:v>جمع المتطلبات مكتمل؛ تجميع ومراجعة الوثائق — لا تنفيذ</x:v>
      </x:c>
      <x:c r="D9" s="43" t="str">
        <x:v>اختبارات غير منفذة</x:v>
      </x:c>
      <x:c r="E9" s="47" t="n">
        <x:f>COUNTIF('اختبارات القبول'!F5:F31,"لم ينفذ")</x:f>
        <x:v>14</x:v>
      </x:c>
      <x:c r="G9" s="57" t="str">
        <x:v>معلق / BLOCKED</x:v>
      </x:c>
      <x:c r="H9" s="52" t="str">
        <x:v>هناك بيانات/قرار/اختبار ناقص يمنع الإجراء التابع.</x:v>
      </x:c>
    </x:row>
    <x:row r="10" ht="31" customHeight="1">
      <x:c r="A10" s="37" t="str">
        <x:v>حالة التنفيذ الحالية</x:v>
      </x:c>
      <x:c r="B10" s="32" t="str">
        <x:v>النسخة السابقة PARTIALLY COMPLIANT / NOT CERTIFIED IN THIS REVIEW</x:v>
      </x:c>
      <x:c r="G10" s="57" t="str">
        <x:v>NOT VERIFIED</x:v>
      </x:c>
      <x:c r="H10" s="52" t="str">
        <x:v>لم يتحقق بالكود/القاعدة الحية/اختبار فعلي.</x:v>
      </x:c>
    </x:row>
    <x:row r="11" ht="31" customHeight="1">
      <x:c r="A11" s="37" t="str">
        <x:v>قواعد التقنية</x:v>
      </x:c>
      <x:c r="B11" s="32" t="str">
        <x:v>React + TypeScript + Vite + Supabase فقط</x:v>
      </x:c>
    </x:row>
    <x:row r="12" ht="31" customHeight="1">
      <x:c r="A12" s="37" t="str">
        <x:v>بوابة التنفيذ</x:v>
      </x:c>
      <x:c r="B12" s="32" t="str">
        <x:v>لا كود/DB changes قبل اعتماد الوثائق، اختيار baseline، فحص Supabase وbackup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62" hidden="0" customWidth="1"/>
    <x:col min="4" max="4" width="26" hidden="0" customWidth="1"/>
    <x:col min="5" max="5" width="12" hidden="0" customWidth="1"/>
    <x:col min="6" max="6" width="26" hidden="0" customWidth="1"/>
    <x:col min="7" max="7" width="54" hidden="0" customWidth="1"/>
    <x:col min="8" max="8" width="16" hidden="0" customWidth="1"/>
  </x:cols>
  <x:sheetData>
    <x:row r="1" ht="32" customHeight="1">
      <x:c r="A1" s="6" t="str">
        <x:v>سجل المتطلبات الموحد</x:v>
      </x:c>
      <x:c r="B1" s="6"/>
      <x:c r="C1" s="6"/>
      <x:c r="D1" s="6"/>
      <x:c r="E1" s="6"/>
      <x:c r="F1" s="6"/>
      <x:c r="G1" s="6"/>
      <x:c r="H1" s="6"/>
    </x:row>
    <x:row r="2" ht="34" customHeight="1">
      <x:c r="A2" s="16" t="str">
        <x:v>تم تجميع المرجعية والملحق والمحادثة القديمة. «مسترجع» لا يعني اعتمادًا نهائيًا أو تنفيذًا.</x:v>
      </x:c>
      <x:c r="B2" s="16"/>
      <x:c r="C2" s="16"/>
      <x:c r="D2" s="16"/>
      <x:c r="E2" s="16"/>
      <x:c r="F2" s="16"/>
      <x:c r="G2" s="16"/>
      <x:c r="H2" s="16"/>
    </x:row>
    <x:row r="4" ht="34" customHeight="1">
      <x:c r="A4" s="63" t="str">
        <x:v>المعرّف</x:v>
      </x:c>
      <x:c r="B4" s="63" t="str">
        <x:v>المجال</x:v>
      </x:c>
      <x:c r="C4" s="63" t="str">
        <x:v>المتطلب / القرار المسجل</x:v>
      </x:c>
      <x:c r="D4" s="63" t="str">
        <x:v>المصدر</x:v>
      </x:c>
      <x:c r="E4" s="63" t="str">
        <x:v>الأولوية</x:v>
      </x:c>
      <x:c r="F4" s="63" t="str">
        <x:v>الحالة</x:v>
      </x:c>
      <x:c r="G4" s="63" t="str">
        <x:v>دليل القبول المطلوب</x:v>
      </x:c>
      <x:c r="H4" s="63" t="str">
        <x:v>قرار مرتبط</x:v>
      </x:c>
    </x:row>
    <x:row r="5" ht="66" customHeight="1">
      <x:c r="A5" s="70" t="str">
        <x:v>GOV-01</x:v>
      </x:c>
      <x:c r="B5" s="70" t="str">
        <x:v>الحوكمة</x:v>
      </x:c>
      <x:c r="C5" s="70" t="str">
        <x:v>المرجعية الأصلية Sleepee_Single_Source_Of_Truth_v1.0 هي المصدر التجاري الحاكم ويجب أن تبقى دون تعديل.</x:v>
      </x:c>
      <x:c r="D5" s="70" t="str">
        <x:v>SSoT</x:v>
      </x:c>
      <x:c r="E5" s="70" t="str">
        <x:v>حرج</x:v>
      </x:c>
      <x:c r="F5" s="70" t="str">
        <x:v>إلزامي من المرجعية</x:v>
      </x:c>
      <x:c r="G5" s="70" t="str">
        <x:v>أي تعديل موسع يوثق في Amendment مستقل؛ لا تعديل للنص الأصلي.</x:v>
      </x:c>
      <x:c r="H5" s="70" t="str"/>
    </x:row>
    <x:row r="6" ht="66" customHeight="1">
      <x:c r="A6" s="70" t="str">
        <x:v>GOV-02</x:v>
      </x:c>
      <x:c r="B6" s="70" t="str">
        <x:v>التقنية</x:v>
      </x:c>
      <x:c r="C6" s="70" t="str">
        <x:v>React + TypeScript + Vite مع Supabase PostgreSQL/Auth/RLS/Storage/RPC/Realtime فقط.</x:v>
      </x:c>
      <x:c r="D6" s="70" t="str">
        <x:v>SSoT</x:v>
      </x:c>
      <x:c r="E6" s="70" t="str">
        <x:v>حرج</x:v>
      </x:c>
      <x:c r="F6" s="70" t="str">
        <x:v>إلزامي من المرجعية</x:v>
      </x:c>
      <x:c r="G6" s="70" t="str">
        <x:v>فحص المصدر والإعدادات والمخطط؛ لا تقنيات خلفية بديلة.</x:v>
      </x:c>
      <x:c r="H6" s="70" t="str"/>
    </x:row>
    <x:row r="7" ht="66" customHeight="1">
      <x:c r="A7" s="70" t="str">
        <x:v>GOV-03</x:v>
      </x:c>
      <x:c r="B7" s="70" t="str">
        <x:v>النطاق</x:v>
      </x:c>
      <x:c r="C7" s="70" t="str">
        <x:v>استبعاد ERP وCRM والمحاسبة/التكاليف كنظام مستقل وHR/Payroll والمشتريات وWarehouse ERP وVendor Portal وPOS وE-Commerce.</x:v>
      </x:c>
      <x:c r="D7" s="70" t="str">
        <x:v>SSoT</x:v>
      </x:c>
      <x:c r="E7" s="70" t="str">
        <x:v>حرج</x:v>
      </x:c>
      <x:c r="F7" s="70" t="str">
        <x:v>إلزامي من المرجعية</x:v>
      </x:c>
      <x:c r="G7" s="70" t="str">
        <x:v>مصفوفة نطاق لا تحتوي على الأنظمة المستبعدة.</x:v>
      </x:c>
      <x:c r="H7" s="70" t="str"/>
    </x:row>
    <x:row r="8" ht="66" customHeight="1">
      <x:c r="A8" s="70" t="str">
        <x:v>GOV-04</x:v>
      </x:c>
      <x:c r="B8" s="70" t="str">
        <x:v>الإصدارات</x:v>
      </x:c>
      <x:c r="C8" s="70" t="str">
        <x:v>عدم اعتماد أي مرحلة أو ميزة دون دليل اختبار فعلي؛ التمييز بين تحقق الكود والقاعدة والبيئة الحية.</x:v>
      </x:c>
      <x:c r="D8" s="70" t="str">
        <x:v>SSoT</x:v>
      </x:c>
      <x:c r="E8" s="70" t="str">
        <x:v>حرج</x:v>
      </x:c>
      <x:c r="F8" s="70" t="str">
        <x:v>إلزامي من المرجعية</x:v>
      </x:c>
      <x:c r="G8" s="70" t="str">
        <x:v>تقارير تحقق بأدلة ومخرجات فعلية.</x:v>
      </x:c>
      <x:c r="H8" s="70" t="str"/>
    </x:row>
    <x:row r="9" ht="66" customHeight="1">
      <x:c r="A9" s="70" t="str">
        <x:v>UX-01</x:v>
      </x:c>
      <x:c r="B9" s="70" t="str">
        <x:v>تجربة الاستخدام</x:v>
      </x:c>
      <x:c r="C9" s="70" t="str">
        <x:v>تحويل الواجهة إلى مراكز تشغيل تبدأ بالمؤشرات والإجراءات السريعة والحالات التي تحتاج تدخلًا والعمليات الحديثة والبحث؛ التفاصيل/الجداول عند الحاجة.</x:v>
      </x:c>
      <x:c r="D9" s="70" t="str">
        <x:v>مسترجع من المحادثة</x:v>
      </x:c>
      <x:c r="E9" s="70" t="str">
        <x:v>عالٍ</x:v>
      </x:c>
      <x:c r="F9" s="70" t="str">
        <x:v>مسترجع — يحتاج اعتماد Blueprint</x:v>
      </x:c>
      <x:c r="G9" s="70" t="str">
        <x:v>مراجعة كل مركز وفق نموذج Operational Center قبل تنفيذ التصميم.</x:v>
      </x:c>
      <x:c r="H9" s="70" t="str"/>
    </x:row>
    <x:row r="10" ht="66" customHeight="1">
      <x:c r="A10" s="70" t="str">
        <x:v>UX-02</x:v>
      </x:c>
      <x:c r="B10" s="70" t="str">
        <x:v>هيكل التنقل</x:v>
      </x:c>
      <x:c r="C10" s="70" t="str">
        <x:v>لوحة رئيسية + أربعة مراكز: الإنتاج والتصنيع، الضمان وخدمة العملاء، التقارير والتحليلات، الإدارة؛ مع /verify العامة.</x:v>
      </x:c>
      <x:c r="D10" s="70" t="str">
        <x:v>ملحق المراجعة v1.2</x:v>
      </x:c>
      <x:c r="E10" s="70" t="str">
        <x:v>حرج</x:v>
      </x:c>
      <x:c r="F10" s="70" t="str">
        <x:v>مسجل في الملحق — يحتاج اعتماد الملحق</x:v>
      </x:c>
      <x:c r="G10" s="70" t="str">
        <x:v>مصفوفة تنقل تبين الصفحات الفرعية دون تضخم المراكز العليا.</x:v>
      </x:c>
      <x:c r="H10" s="70" t="str">
        <x:v>NAV-01</x:v>
      </x:c>
    </x:row>
    <x:row r="11" ht="66" customHeight="1">
      <x:c r="A11" s="70" t="str">
        <x:v>UX-03</x:v>
      </x:c>
      <x:c r="B11" s="70" t="str">
        <x:v>هيكل التنقل</x:v>
      </x:c>
      <x:c r="C11" s="70" t="str">
        <x:v>مراكز BOM/Product/Printing/Replacement المقترحة تُنظم مبدئيًا كمساحات فرعية، لا مراكز رئيسية إضافية، حتى اعتماد خلاف ذلك.</x:v>
      </x:c>
      <x:c r="D11" s="70" t="str">
        <x:v>توفيق بين الملحق والنقاش</x:v>
      </x:c>
      <x:c r="E11" s="70" t="str">
        <x:v>عالٍ</x:v>
      </x:c>
      <x:c r="F11" s="70" t="str">
        <x:v>اقتراح تصميم — يحتاج اعتماد</x:v>
      </x:c>
      <x:c r="G11" s="70" t="str">
        <x:v>خريطة تنقل موافق عليها من المالك.</x:v>
      </x:c>
      <x:c r="H11" s="70" t="str">
        <x:v>NAV-01</x:v>
      </x:c>
    </x:row>
    <x:row r="12" ht="66" customHeight="1">
      <x:c r="A12" s="70" t="str">
        <x:v>UX-04</x:v>
      </x:c>
      <x:c r="B12" s="70" t="str">
        <x:v>Header/Footer</x:v>
      </x:c>
      <x:c r="C12" s="70" t="str">
        <x:v>Header يتضمن الشعار والاسم والمستخدم/الدور والإشعارات والثيم والحجم والبحث والإعدادات؛ Footer يتضمن السياسات ووسائل التواصل والحقوق.</x:v>
      </x:c>
      <x:c r="D12" s="70" t="str">
        <x:v>مسترجع من المحادثة</x:v>
      </x:c>
      <x:c r="E12" s="70" t="str">
        <x:v>متوسط</x:v>
      </x:c>
      <x:c r="F12" s="70" t="str">
        <x:v>مسترجع — يحتاج اعتماد Blueprint</x:v>
      </x:c>
      <x:c r="G12" s="70" t="str">
        <x:v>مراجعة مرئية لكل لغة وحجم شاشة؛ لا نشر رقم غير معتمد.</x:v>
      </x:c>
      <x:c r="H12" s="70" t="str"/>
    </x:row>
    <x:row r="13" ht="66" customHeight="1">
      <x:c r="A13" s="70" t="str">
        <x:v>UX-05</x:v>
      </x:c>
      <x:c r="B13" s="70" t="str">
        <x:v>Dashboard</x:v>
      </x:c>
      <x:c r="C13" s="70" t="str">
        <x:v>Role-based dashboard بحسب الدور الفعلي، مبني على بيانات Supabase الفعلية لا بيانات ثابتة.</x:v>
      </x:c>
      <x:c r="D13" s="70" t="str">
        <x:v>مسترجع من المحادثة + SSoT</x:v>
      </x:c>
      <x:c r="E13" s="70" t="str">
        <x:v>عالٍ</x:v>
      </x:c>
      <x:c r="F13" s="70" t="str">
        <x:v>مسترجع — يحتاج اعتماد Blueprint</x:v>
      </x:c>
      <x:c r="G13" s="70" t="str">
        <x:v>اختبار البيانات والصلاحيات لكل دور.</x:v>
      </x:c>
      <x:c r="H13" s="70" t="str">
        <x:v>ROLE-01</x:v>
      </x:c>
    </x:row>
    <x:row r="14" ht="66" customHeight="1">
      <x:c r="A14" s="70" t="str">
        <x:v>UX-06</x:v>
      </x:c>
      <x:c r="B14" s="70" t="str">
        <x:v>Global Search</x:v>
      </x:c>
      <x:c r="C14" s="70" t="str">
        <x:v>بحث عبر الرقم التسلسلي والدفعة وأمر الإنتاج والعميل/الهاتف والفاتورة والضمان وحالة الخدمة ضمن الصلاحيات.</x:v>
      </x:c>
      <x:c r="D14" s="70" t="str">
        <x:v>SSoT</x:v>
      </x:c>
      <x:c r="E14" s="70" t="str">
        <x:v>عالٍ</x:v>
      </x:c>
      <x:c r="F14" s="70" t="str">
        <x:v>إلزامي من المرجعية</x:v>
      </x:c>
      <x:c r="G14" s="70" t="str">
        <x:v>اختبار العثور مع منع تسريب معلومات خارج الدور.</x:v>
      </x:c>
      <x:c r="H14" s="70" t="str"/>
    </x:row>
    <x:row r="15" ht="66" customHeight="1">
      <x:c r="A15" s="70" t="str">
        <x:v>UX-07</x:v>
      </x:c>
      <x:c r="B15" s="70" t="str">
        <x:v>الإشعارات</x:v>
      </x:c>
      <x:c r="C15" s="70" t="str">
        <x:v>إشعارات داخل التطبيق؛ WhatsApp والبريد مطلوبان كقنوات لكن المزود وإعداداته غير محددة.</x:v>
      </x:c>
      <x:c r="D15" s="70" t="str">
        <x:v>مسترجع + ملحق</x:v>
      </x:c>
      <x:c r="E15" s="70" t="str">
        <x:v>عالٍ</x:v>
      </x:c>
      <x:c r="F15" s="70" t="str">
        <x:v>جزء داخلي مطلوب؛ التكامل الخارجي معلق</x:v>
      </x:c>
      <x:c r="G15" s="70" t="str">
        <x:v>اختبار داخلي؛ التكامل الخارجي بعد اختيار مزود آمن.</x:v>
      </x:c>
      <x:c r="H15" s="70" t="str">
        <x:v>NOT-07</x:v>
      </x:c>
    </x:row>
    <x:row r="16" ht="66" customHeight="1">
      <x:c r="A16" s="70" t="str">
        <x:v>PROD-01</x:v>
      </x:c>
      <x:c r="B16" s="70" t="str">
        <x:v>مراكز التشغيل</x:v>
      </x:c>
      <x:c r="C16" s="70" t="str">
        <x:v>إظهار Production + Serialization + Label Designer + Printing كتجربة تشغيل متصلة، مع فصل المسؤوليات البرمجية داخليًا.</x:v>
      </x:c>
      <x:c r="D16" s="70" t="str">
        <x:v>مسترجع من المحادثة</x:v>
      </x:c>
      <x:c r="E16" s="70" t="str">
        <x:v>حرج</x:v>
      </x:c>
      <x:c r="F16" s="70" t="str">
        <x:v>مسترجع — يحتاج اعتماد Blueprint</x:v>
      </x:c>
      <x:c r="G16" s="70" t="str">
        <x:v>خريطة workflow موحدة مع بقاء الوحدات Modular.</x:v>
      </x:c>
      <x:c r="H16" s="70" t="str"/>
    </x:row>
    <x:row r="17" ht="66" customHeight="1">
      <x:c r="A17" s="70" t="str">
        <x:v>PROD-02</x:v>
      </x:c>
      <x:c r="B17" s="70" t="str">
        <x:v>Quick Production</x:v>
      </x:c>
      <x:c r="C17" s="70" t="str">
        <x:v>مسار سريع: اختيار المنتج/المقاس/الكمية ثم أمر الإنتاج والدفعة والأرقام التسلسلية وPrint Jobs ثم مركز الطباعة.</x:v>
      </x:c>
      <x:c r="D17" s="70" t="str">
        <x:v>مسترجع من المحادثة</x:v>
      </x:c>
      <x:c r="E17" s="70" t="str">
        <x:v>عالٍ</x:v>
      </x:c>
      <x:c r="F17" s="70" t="str">
        <x:v>مسترجع — تصميم تفصيلي مطلوب</x:v>
      </x:c>
      <x:c r="G17" s="70" t="str">
        <x:v>تجربة نجاح وفشل، ولا خطوة تتجاوز حالة أو صلاحية.</x:v>
      </x:c>
      <x:c r="H17" s="70" t="str"/>
    </x:row>
    <x:row r="18" ht="66" customHeight="1">
      <x:c r="A18" s="70" t="str">
        <x:v>PROD-03</x:v>
      </x:c>
      <x:c r="B18" s="70" t="str">
        <x:v>Manual/Advanced Wizard</x:v>
      </x:c>
      <x:c r="C18" s="70" t="str">
        <x:v>Wizard تفصيلي يربط أمر الإنتاج ونسخة BOM وRouting/Production Version والدفعة والأرقام والتصميم والطباعة والإكمال.</x:v>
      </x:c>
      <x:c r="D18" s="70" t="str">
        <x:v>مسترجع من المحادثة</x:v>
      </x:c>
      <x:c r="E18" s="70" t="str">
        <x:v>عالٍ</x:v>
      </x:c>
      <x:c r="F18" s="70" t="str">
        <x:v>مسترجع — تصميم تفصيلي مطلوب</x:v>
      </x:c>
      <x:c r="G18" s="70" t="str">
        <x:v>توثيق الخطوات والمدخلات وشروط السماح والرجوع.</x:v>
      </x:c>
      <x:c r="H18" s="70" t="str"/>
    </x:row>
    <x:row r="19" ht="66" customHeight="1">
      <x:c r="A19" s="70" t="str">
        <x:v>PROD-04</x:v>
      </x:c>
      <x:c r="B19" s="70" t="str">
        <x:v>Auto Progression</x:v>
      </x:c>
      <x:c r="C19" s="70" t="str">
        <x:v>فتح المرحلة التالية تلقائيًا بعد نجاح شروط التحقق فقط، مع الرجوع للمراجعة دون فقد تاريخ العمليات.</x:v>
      </x:c>
      <x:c r="D19" s="70" t="str">
        <x:v>مسترجع من المحادثة</x:v>
      </x:c>
      <x:c r="E19" s="70" t="str">
        <x:v>عالٍ</x:v>
      </x:c>
      <x:c r="F19" s="70" t="str">
        <x:v>اقتراح تشغيلي — يحتاج اعتماد</x:v>
      </x:c>
      <x:c r="G19" s="70" t="str">
        <x:v>اختبار أن الفشل/النقص يمنع الانتقال ولا يغير الحالة.</x:v>
      </x:c>
      <x:c r="H19" s="70" t="str"/>
    </x:row>
    <x:row r="20" ht="66" customHeight="1">
      <x:c r="A20" s="70" t="str">
        <x:v>PROD-05</x:v>
      </x:c>
      <x:c r="B20" s="70" t="str">
        <x:v>حالات أمر الإنتاج</x:v>
      </x:c>
      <x:c r="C20" s="70" t="str">
        <x:v>الحالات الأصلية: Draft → Planned → Approved → In Production → Partially Completed → Completed → Cancelled.</x:v>
      </x:c>
      <x:c r="D20" s="70" t="str">
        <x:v>SSoT</x:v>
      </x:c>
      <x:c r="E20" s="70" t="str">
        <x:v>حرج</x:v>
      </x:c>
      <x:c r="F20" s="70" t="str">
        <x:v>إلزامي من المرجعية</x:v>
      </x:c>
      <x:c r="G20" s="70" t="str">
        <x:v>مطابقة enum/TypeScript/RPC/RLS والانتقالات المعتمدة.</x:v>
      </x:c>
      <x:c r="H20" s="70" t="str"/>
    </x:row>
    <x:row r="21" ht="66" customHeight="1">
      <x:c r="A21" s="70" t="str">
        <x:v>PROD-06</x:v>
      </x:c>
      <x:c r="B21" s="70" t="str">
        <x:v>حالات الدفعة</x:v>
      </x:c>
      <x:c r="C21" s="70" t="str">
        <x:v>Created → Serialized → Printed → Completed.</x:v>
      </x:c>
      <x:c r="D21" s="70" t="str">
        <x:v>SSoT</x:v>
      </x:c>
      <x:c r="E21" s="70" t="str">
        <x:v>عالٍ</x:v>
      </x:c>
      <x:c r="F21" s="70" t="str">
        <x:v>إلزامي من المرجعية</x:v>
      </x:c>
      <x:c r="G21" s="70" t="str">
        <x:v>اختبارات انتقال الدفعة وعدم إكمالها مع طباعة فاشلة.</x:v>
      </x:c>
      <x:c r="H21" s="70" t="str"/>
    </x:row>
    <x:row r="22" ht="66" customHeight="1">
      <x:c r="A22" s="70" t="str">
        <x:v>PROD-07</x:v>
      </x:c>
      <x:c r="B22" s="70" t="str">
        <x:v>عدد الطاولات</x:v>
      </x:c>
      <x:c r="C22" s="70" t="str">
        <x:v>العدد الإجمالي المسجل 10 طاولات؛ ورد 9 طاولات لقسم التنجيد والتجميع وتوزيعها بحاجة توثيق.</x:v>
      </x:c>
      <x:c r="D22" s="70" t="str">
        <x:v>توضيح المالك + ملحق</x:v>
      </x:c>
      <x:c r="E22" s="70" t="str">
        <x:v>عالٍ</x:v>
      </x:c>
      <x:c r="F22" s="70" t="str">
        <x:v>المجموع مسجل؛ التوزيع/التفسير معلق</x:v>
      </x:c>
      <x:c r="G22" s="70" t="str">
        <x:v>مصدر/مخطط يوضح توزيع الطاولات والتوازي قبل حساب الطاقة.</x:v>
      </x:c>
      <x:c r="H22" s="70" t="str">
        <x:v>MFG-01</x:v>
      </x:c>
    </x:row>
    <x:row r="23" ht="66" customHeight="1">
      <x:c r="A23" s="70" t="str">
        <x:v>BOM-01</x:v>
      </x:c>
      <x:c r="B23" s="70" t="str">
        <x:v>Product Tree</x:v>
      </x:c>
      <x:c r="C23" s="70" t="str">
        <x:v>Category → Brand → Model → Size/Variant → Product Definition → BOM Version/Routing Version كتصور تصميمي؛ model belongs to one brand.</x:v>
      </x:c>
      <x:c r="D23" s="70" t="str">
        <x:v>SSoT + مسودة المتطلبات</x:v>
      </x:c>
      <x:c r="E23" s="70" t="str">
        <x:v>عالٍ</x:v>
      </x:c>
      <x:c r="F23" s="70" t="str">
        <x:v>المبدأ من المرجعية؛ التفاصيل تحتاج اعتماد</x:v>
      </x:c>
      <x:c r="G23" s="70" t="str">
        <x:v>مطابقة الفئات والعلامات والموديلات والمقاسات ومراجع Emareties.</x:v>
      </x:c>
      <x:c r="H23" s="70" t="str"/>
    </x:row>
    <x:row r="24" ht="66" customHeight="1">
      <x:c r="A24" s="70" t="str">
        <x:v>BOM-02</x:v>
      </x:c>
      <x:c r="B24" s="70" t="str">
        <x:v>مصدر BOM</x:v>
      </x:c>
      <x:c r="C24" s="70" t="str">
        <x:v>Models BOM.xlsx مصدر BOM الموديلات ومكوناتها وأكوادها وكمياتها؛ لا تستخدم ورقة السعر كمتطلب costing.</x:v>
      </x:c>
      <x:c r="D24" s="70" t="str">
        <x:v>ملحق المراجعة v1.2</x:v>
      </x:c>
      <x:c r="E24" s="70" t="str">
        <x:v>حرج</x:v>
      </x:c>
      <x:c r="F24" s="70" t="str">
        <x:v>مصدر بيانات معتمد للاستخدام المرجعي</x:v>
      </x:c>
      <x:c r="G24" s="70" t="str">
        <x:v>مقارنة مكونات كل ورقة مع الكود الحالي دون import تلقائي.</x:v>
      </x:c>
      <x:c r="H24" s="70" t="str"/>
    </x:row>
    <x:row r="25" ht="66" customHeight="1">
      <x:c r="A25" s="70" t="str">
        <x:v>BOM-03</x:v>
      </x:c>
      <x:c r="B25" s="70" t="str">
        <x:v>طبقات الموديل</x:v>
      </x:c>
      <x:c r="C25" s="70" t="str">
        <x:v>استخدام توضيح الطبقات والحشو الداخلي لتفسير التركيب، والتمييز بين الوجهين وPillow Top/Wall والمواد.</x:v>
      </x:c>
      <x:c r="D25" s="70" t="str">
        <x:v>توضيح المالك + مصدر XLSX</x:v>
      </x:c>
      <x:c r="E25" s="70" t="str">
        <x:v>عالٍ</x:v>
      </x:c>
      <x:c r="F25" s="70" t="str">
        <x:v>مسجل؛ تصميم BOM مطلوب</x:v>
      </x:c>
      <x:c r="G25" s="70" t="str">
        <x:v>مطابقة أمثلة الموديلات ومكونات كل وجه دون افتراض التماثل.</x:v>
      </x:c>
      <x:c r="H25" s="70" t="str"/>
    </x:row>
    <x:row r="26" ht="66" customHeight="1">
      <x:c r="A26" s="70" t="str">
        <x:v>BOM-04</x:v>
      </x:c>
      <x:c r="B26" s="70" t="str">
        <x:v>تمييز البلصات</x:v>
      </x:c>
      <x:c r="C26" s="70" t="str">
        <x:v>بلصة الطول وبلصة العرض أنواع مستقلة عن HR Foam وMemory Foam وباقي الحشو الداخلي.</x:v>
      </x:c>
      <x:c r="D26" s="70" t="str">
        <x:v>توضيح المالك + ملحق v1.2</x:v>
      </x:c>
      <x:c r="E26" s="70" t="str">
        <x:v>حرج</x:v>
      </x:c>
      <x:c r="F26" s="70" t="str">
        <x:v>مؤكد في الملحق</x:v>
      </x:c>
      <x:c r="G26" s="70" t="str">
        <x:v>اختبار تصنيف مكونات Rrstcalm وعدم إدخال HR/Memory ضمن منطق البلصات.</x:v>
      </x:c>
      <x:c r="H26" s="70" t="str">
        <x:v>MFG-04</x:v>
      </x:c>
    </x:row>
    <x:row r="27" ht="66" customHeight="1">
      <x:c r="A27" s="70" t="str">
        <x:v>BOM-05</x:v>
      </x:c>
      <x:c r="B27" s="70" t="str">
        <x:v>الأبعاد</x:v>
      </x:c>
      <x:c r="C27" s="70" t="str">
        <x:v>لا تعمم قاعدة scaling واحدة؛ استخدم قيم BOM الخاصة بكل موديل حتى اعتماد قواعد مادية محددة.</x:v>
      </x:c>
      <x:c r="D27" s="70" t="str">
        <x:v>ملحق المراجعة v1.2</x:v>
      </x:c>
      <x:c r="E27" s="70" t="str">
        <x:v>حرج</x:v>
      </x:c>
      <x:c r="F27" s="70" t="str">
        <x:v>مؤكد في الملحق</x:v>
      </x:c>
      <x:c r="G27" s="70" t="str">
        <x:v>أبعاد كل مكون مرتبطة بمصدرها ونوعها ووحدتها.</x:v>
      </x:c>
      <x:c r="H27" s="70" t="str"/>
    </x:row>
    <x:row r="28" ht="66" customHeight="1">
      <x:c r="A28" s="70" t="str">
        <x:v>BOM-06</x:v>
      </x:c>
      <x:c r="B28" s="70" t="str">
        <x:v>Versioning</x:v>
      </x:c>
      <x:c r="C28" s="70" t="str">
        <x:v>BOM/ECN/نسخ ذات تاريخ سريان وموافقة مطلوبة في المسودة التفصيلية؛ دورة lifecycle لم تعتمد بعد.</x:v>
      </x:c>
      <x:c r="D28" s="70" t="str">
        <x:v>مسودة المتطلبات</x:v>
      </x:c>
      <x:c r="E28" s="70" t="str">
        <x:v>عالٍ</x:v>
      </x:c>
      <x:c r="F28" s="70" t="str">
        <x:v>مقترح تصميم — يحتاج اعتماد</x:v>
      </x:c>
      <x:c r="G28" s="70" t="str">
        <x:v>قرار lifecycle ثم اختبارات أثر تاريخي.</x:v>
      </x:c>
      <x:c r="H28" s="70" t="str">
        <x:v>MFG-06</x:v>
      </x:c>
    </x:row>
    <x:row r="29" ht="66" customHeight="1">
      <x:c r="A29" s="70" t="str">
        <x:v>BOM-07</x:v>
      </x:c>
      <x:c r="B29" s="70" t="str">
        <x:v>قاموس الأكواد</x:v>
      </x:c>
      <x:c r="C29" s="70" t="str">
        <x:v>تفسير البادئة 1/2/3 وKN وما شابه جزئي/غير رسمي؛ إبقاء الأكواد الأصلية حتى اعتماد قاموس موثوق.</x:v>
      </x:c>
      <x:c r="D29" s="70" t="str">
        <x:v>ملحق المراجعة v1.2</x:v>
      </x:c>
      <x:c r="E29" s="70" t="str">
        <x:v>عالٍ</x:v>
      </x:c>
      <x:c r="F29" s="70" t="str">
        <x:v>معلق</x:v>
      </x:c>
      <x:c r="G29" s="70" t="str">
        <x:v>قاموس معتمد وmapping للأكواد القديمة والجديدة.</x:v>
      </x:c>
      <x:c r="H29" s="70" t="str">
        <x:v>NOT-05</x:v>
      </x:c>
    </x:row>
    <x:row r="30" ht="66" customHeight="1">
      <x:c r="A30" s="70" t="str">
        <x:v>RTG-01</x:v>
      </x:c>
      <x:c r="B30" s="70" t="str">
        <x:v>أقسام المصنع</x:v>
      </x:c>
      <x:c r="C30" s="70" t="str">
        <x:v>الترتيب التشغيلي الفعلي: السلك، التطريز والتفصيل، التنجيد والتجميع، التيب، التغليف.</x:v>
      </x:c>
      <x:c r="D30" s="70" t="str">
        <x:v>توضيح المالك</x:v>
      </x:c>
      <x:c r="E30" s="70" t="str">
        <x:v>حرج</x:v>
      </x:c>
      <x:c r="F30" s="70" t="str">
        <x:v>مؤكد من المالك</x:v>
      </x:c>
      <x:c r="G30" s="70" t="str">
        <x:v>تعكس وثائق Routing أسماء الأقسام الخمسة كما هي.</x:v>
      </x:c>
      <x:c r="H30" s="70" t="str"/>
    </x:row>
    <x:row r="31" ht="66" customHeight="1">
      <x:c r="A31" s="70" t="str">
        <x:v>RTG-02</x:v>
      </x:c>
      <x:c r="B31" s="70" t="str">
        <x:v>تقسيم SAP</x:v>
      </x:c>
      <x:c r="C31" s="70" t="str">
        <x:v>SAP يجمع الأقسام الثلاثة الأولى في عملية واحدة ثم التيب والتغليف؛ ليس مصدرًا بديلًا لأزمنة المصنع.</x:v>
      </x:c>
      <x:c r="D31" s="70" t="str">
        <x:v>ملحق المراجعة v1.2</x:v>
      </x:c>
      <x:c r="E31" s="70" t="str">
        <x:v>حرج</x:v>
      </x:c>
      <x:c r="F31" s="70" t="str">
        <x:v>مؤكد في الملحق</x:v>
      </x:c>
      <x:c r="G31" s="70" t="str">
        <x:v>عدم استبدال routing/time source بتقسيم SAP الثلاثي.</x:v>
      </x:c>
      <x:c r="H31" s="70" t="str"/>
    </x:row>
    <x:row r="32" ht="66" customHeight="1">
      <x:c r="A32" s="70" t="str">
        <x:v>RTG-03</x:v>
      </x:c>
      <x:c r="B32" s="70" t="str">
        <x:v>اختلاف Routing</x:v>
      </x:c>
      <x:c r="C32" s="70" t="str">
        <x:v>المسارات تختلف حسب الموديل/البراند/البناء/الماكينة؛ دعم بدائل وتجاوز عمليات غير لازمة وعمليات متكررة مثل العودة من التيب للتجميع ثم التيب.</x:v>
      </x:c>
      <x:c r="D32" s="70" t="str">
        <x:v>توضيح المالك + ملحق v1.2</x:v>
      </x:c>
      <x:c r="E32" s="70" t="str">
        <x:v>حرج</x:v>
      </x:c>
      <x:c r="F32" s="70" t="str">
        <x:v>متطلب مسجل؛ تفصيل المسارات ناقص</x:v>
      </x:c>
      <x:c r="G32" s="70" t="str">
        <x:v>Routing لكل موديل/خط مبني على مصدر موثق/تحقق ميداني.</x:v>
      </x:c>
      <x:c r="H32" s="70" t="str">
        <x:v>MFG-02</x:v>
      </x:c>
    </x:row>
    <x:row r="33" ht="66" customHeight="1">
      <x:c r="A33" s="70" t="str">
        <x:v>TIME-01</x:v>
      </x:c>
      <x:c r="B33" s="70" t="str">
        <x:v>مصدر أزمنة التشغيل</x:v>
      </x:c>
      <x:c r="C33" s="70" t="str">
        <x:v>ملف وقت التشغيل.xlsx مرجع مستقل؛ ورقة وقت التشغيل المضمنة في Models BOM مرجع متقاطع؛ تقارن النسختان قبل أي تحميل.</x:v>
      </x:c>
      <x:c r="D33" s="70" t="str">
        <x:v>ملحق المراجعة v1.2</x:v>
      </x:c>
      <x:c r="E33" s="70" t="str">
        <x:v>حرج</x:v>
      </x:c>
      <x:c r="F33" s="70" t="str">
        <x:v>مصدر مرجعي مسجل</x:v>
      </x:c>
      <x:c r="G33" s="70" t="str">
        <x:v>تقرير مقارنة النسختين وفروقها قبل import.</x:v>
      </x:c>
      <x:c r="H33" s="70" t="str">
        <x:v>MFG-02</x:v>
      </x:c>
    </x:row>
    <x:row r="34" ht="66" customHeight="1">
      <x:c r="A34" s="70" t="str">
        <x:v>TIME-02</x:v>
      </x:c>
      <x:c r="B34" s="70" t="str">
        <x:v>معنى الزمن</x:v>
      </x:c>
      <x:c r="C34" s="70" t="str">
        <x:v>الورقة تعرض زمنًا لكل موديل، ولا تقدم في أعمدتها الظاهرة أزمنة منفصلة موثقة لكل قسم؛ تفسير علاقة الزمن بالطاولات يحتاج حسمًا.</x:v>
      </x:c>
      <x:c r="D34" s="70" t="str">
        <x:v>ملحق v1.2 + المحادثة القديمة</x:v>
      </x:c>
      <x:c r="E34" s="70" t="str">
        <x:v>حرج</x:v>
      </x:c>
      <x:c r="F34" s="70" t="str">
        <x:v>معلق/لا يسمح بحساب الطاقة بعد</x:v>
      </x:c>
      <x:c r="G34" s="70" t="str">
        <x:v>توثيق معنى وحدة الزمن والدفعة قبل capacity calculation.</x:v>
      </x:c>
      <x:c r="H34" s="70" t="str">
        <x:v>MFG-02</x:v>
      </x:c>
    </x:row>
    <x:row r="35" ht="66" customHeight="1">
      <x:c r="A35" s="70" t="str">
        <x:v>TIME-03</x:v>
      </x:c>
      <x:c r="B35" s="70" t="str">
        <x:v>صف بلا صنف</x:v>
      </x:c>
      <x:c r="C35" s="70" t="str">
        <x:v>في ملف وقت التشغيل المنفصل صف يضم 150 تحت Feb دون اسم منتج؛ لا ينسب إلى موديل تلقائيًا.</x:v>
      </x:c>
      <x:c r="D35" s="70" t="str">
        <x:v>ملحق المراجعة v1.2</x:v>
      </x:c>
      <x:c r="E35" s="70" t="str">
        <x:v>عالٍ</x:v>
      </x:c>
      <x:c r="F35" s="70" t="str">
        <x:v>معلق</x:v>
      </x:c>
      <x:c r="G35" s="70" t="str">
        <x:v>تحديد مصدر الصف من المالك/المصدر.</x:v>
      </x:c>
      <x:c r="H35" s="70" t="str">
        <x:v>NOT-06</x:v>
      </x:c>
    </x:row>
    <x:row r="36" ht="66" customHeight="1">
      <x:c r="A36" s="70" t="str">
        <x:v>MFG-01</x:v>
      </x:c>
      <x:c r="B36" s="70" t="str">
        <x:v>الشاسيه الأمريكي</x:v>
      </x:c>
      <x:c r="C36" s="70" t="str">
        <x:v>للمقاس النهائي المرجعي 100×200، هدف الشاسيه 97×197؛ قد يكون الناتج 98×198 ضمن تفاوت تشكيل 2–3 سم.</x:v>
      </x:c>
      <x:c r="D36" s="70" t="str">
        <x:v>ملحق المراجعة v1.2</x:v>
      </x:c>
      <x:c r="E36" s="70" t="str">
        <x:v>عالٍ</x:v>
      </x:c>
      <x:c r="F36" s="70" t="str">
        <x:v>توضيح مسجل</x:v>
      </x:c>
      <x:c r="G36" s="70" t="str">
        <x:v>حفظ Target منفصلًا عن Actual والتفاوت.</x:v>
      </x:c>
      <x:c r="H36" s="70" t="str"/>
    </x:row>
    <x:row r="37" ht="66" customHeight="1">
      <x:c r="A37" s="70" t="str">
        <x:v>MFG-02</x:v>
      </x:c>
      <x:c r="B37" s="70" t="str">
        <x:v>خطوط التشكيل</x:v>
      </x:c>
      <x:c r="C37" s="70" t="str">
        <x:v>3 Bonnell forming machines و1 Pocket forming/assembly machine؛ نفس الموديل قد يختلف مساره/زمنه حسب الخط.</x:v>
      </x:c>
      <x:c r="D37" s="70" t="str">
        <x:v>ملحق v1.2 + المالك</x:v>
      </x:c>
      <x:c r="E37" s="70" t="str">
        <x:v>عالٍ</x:v>
      </x:c>
      <x:c r="F37" s="70" t="str">
        <x:v>معلوم عام؛ routing التفصيلي معلق</x:v>
      </x:c>
      <x:c r="G37" s="70" t="str">
        <x:v>مصفوفة موديل × خط × route/times مع مصدر معتمد.</x:v>
      </x:c>
      <x:c r="H37" s="70" t="str">
        <x:v>MFG-02</x:v>
      </x:c>
    </x:row>
    <x:row r="38" ht="66" customHeight="1">
      <x:c r="A38" s="70" t="str">
        <x:v>MFG-03</x:v>
      </x:c>
      <x:c r="B38" s="70" t="str">
        <x:v>الفريم</x:v>
      </x:c>
      <x:c r="C38" s="70" t="str">
        <x:v>السماكة المصححة 5 مم؛ المثال التجاري نحو 4.85 مم، وليس 5 سم.</x:v>
      </x:c>
      <x:c r="D38" s="70" t="str">
        <x:v>ملحق المراجعة v1.2</x:v>
      </x:c>
      <x:c r="E38" s="70" t="str">
        <x:v>عالٍ</x:v>
      </x:c>
      <x:c r="F38" s="70" t="str">
        <x:v>مؤكد في الملحق</x:v>
      </x:c>
      <x:c r="G38" s="70" t="str">
        <x:v>تخزين الوحدة الصحيحة ومراجعة أي بيانات متعارضة قبل import.</x:v>
      </x:c>
      <x:c r="H38" s="70" t="str"/>
    </x:row>
    <x:row r="39" ht="66" customHeight="1">
      <x:c r="A39" s="70" t="str">
        <x:v>SER-01</x:v>
      </x:c>
      <x:c r="B39" s="70" t="str">
        <x:v>الأرقام</x:v>
      </x:c>
      <x:c r="C39" s="70" t="str">
        <x:v>ORD-YYYY-XXXXXX، BAT-YYYY-XXXXXX، SLP-YYYY-XXXXXXXX؛ Serial فريد عالميًا ولا يعاد استخدامه أو تصفيره.</x:v>
      </x:c>
      <x:c r="D39" s="70" t="str">
        <x:v>SSoT</x:v>
      </x:c>
      <x:c r="E39" s="70" t="str">
        <x:v>حرج</x:v>
      </x:c>
      <x:c r="F39" s="70" t="str">
        <x:v>إلزامي من المرجعية</x:v>
      </x:c>
      <x:c r="G39" s="70" t="str">
        <x:v>اختبارات الصيغة والتفرد وعدم إعادة الاستخدام.</x:v>
      </x:c>
      <x:c r="H39" s="70" t="str"/>
    </x:row>
    <x:row r="40" ht="66" customHeight="1">
      <x:c r="A40" s="70" t="str">
        <x:v>SER-02</x:v>
      </x:c>
      <x:c r="B40" s="70" t="str">
        <x:v>حالات Serial</x:v>
      </x:c>
      <x:c r="C40" s="70" t="str">
        <x:v>الحالات الأصلية Generated → Printed → Sold → Activated → Service → Replacement → Closed؛ Lost/Destroyed/Cancelled/Returned/Transferred لم تحسم status vs event.</x:v>
      </x:c>
      <x:c r="D40" s="70" t="str">
        <x:v>SSoT + ملحق v1.2</x:v>
      </x:c>
      <x:c r="E40" s="70" t="str">
        <x:v>حرج</x:v>
      </x:c>
      <x:c r="F40" s="70" t="str">
        <x:v>الحالات الأصلية إلزامية؛ الإضافات معلقة</x:v>
      </x:c>
      <x:c r="G40" s="70" t="str">
        <x:v>اعتماد انتقالات/أحداث قبل schema/RLS.</x:v>
      </x:c>
      <x:c r="H40" s="70" t="str">
        <x:v>NOT-08</x:v>
      </x:c>
    </x:row>
    <x:row r="41" ht="66" customHeight="1">
      <x:c r="A41" s="70" t="str">
        <x:v>LBL-01</x:v>
      </x:c>
      <x:c r="B41" s="70" t="str">
        <x:v>تصميم الملصق</x:v>
      </x:c>
      <x:c r="C41" s="70" t="str">
        <x:v>يوجد تصميم سابق لكنه غير معتمد؛ المطلوب عرض تصاميم محسنة لموافقة المالك.</x:v>
      </x:c>
      <x:c r="D41" s="70" t="str">
        <x:v>توضيح المالك</x:v>
      </x:c>
      <x:c r="E41" s="70" t="str">
        <x:v>عالٍ</x:v>
      </x:c>
      <x:c r="F41" s="70" t="str">
        <x:v>مسترجع — يحتاج قرار تصميم</x:v>
      </x:c>
      <x:c r="G41" s="70" t="str">
        <x:v>موافقة مكتوبة على layout/legal text قبل physical print.</x:v>
      </x:c>
      <x:c r="H41" s="70" t="str">
        <x:v>LBL-01</x:v>
      </x:c>
    </x:row>
    <x:row r="42" ht="66" customHeight="1">
      <x:c r="A42" s="70" t="str">
        <x:v>LBL-02</x:v>
      </x:c>
      <x:c r="B42" s="70" t="str">
        <x:v>أحجام الملصقات</x:v>
      </x:c>
      <x:c r="C42" s="70" t="str">
        <x:v>SSoT يدعم 100×50 و100×100؛ ملحق المراجعة يطلب أيضًا 100×80 مم وأبعادًا قابلة للضبط.</x:v>
      </x:c>
      <x:c r="D42" s="70" t="str">
        <x:v>SSoT + ملحق v1.2</x:v>
      </x:c>
      <x:c r="E42" s="70" t="str">
        <x:v>عالٍ</x:v>
      </x:c>
      <x:c r="F42" s="70" t="str">
        <x:v>100×50 و100×100 أصلية؛ الإضافات تحتاج amendment عند اعتمادها</x:v>
      </x:c>
      <x:c r="G42" s="70" t="str">
        <x:v>اختبارات أبعاد وبطاقات قالب حسب الفئة.</x:v>
      </x:c>
      <x:c r="H42" s="70" t="str">
        <x:v>LBL-01</x:v>
      </x:c>
    </x:row>
    <x:row r="43" ht="66" customHeight="1">
      <x:c r="A43" s="70" t="str">
        <x:v>LBL-03</x:v>
      </x:c>
      <x:c r="B43" s="70" t="str">
        <x:v>Label Designer</x:v>
      </x:c>
      <x:c r="C43" s="70" t="str">
        <x:v>المطلوب المقترح: Grid/Snap/Safe Area/Actual Size/data binding/position/size/rotation/font/alignment/border/visibility/template versions/approval/bounds warning.</x:v>
      </x:c>
      <x:c r="D43" s="70" t="str">
        <x:v>مسترجع من المحادثة</x:v>
      </x:c>
      <x:c r="E43" s="70" t="str">
        <x:v>عالٍ</x:v>
      </x:c>
      <x:c r="F43" s="70" t="str">
        <x:v>متطلبات مسترجعة — تصميم واعتماد مطلوب</x:v>
      </x:c>
      <x:c r="G43" s="70" t="str">
        <x:v>نموذج تصميم وقائمة قبول قبل البرمجة.</x:v>
      </x:c>
      <x:c r="H43" s="70" t="str">
        <x:v>LBL-01</x:v>
      </x:c>
    </x:row>
    <x:row r="44" ht="66" customHeight="1">
      <x:c r="A44" s="70" t="str">
        <x:v>LBL-04</x:v>
      </x:c>
      <x:c r="B44" s="70" t="str">
        <x:v>الأصول</x:v>
      </x:c>
      <x:c r="C44" s="70" t="str">
        <x:v>الشعارات والصور والأيقونات المعتمدة من Supabase Storage؛ لا assets وهمية في التشغيل.</x:v>
      </x:c>
      <x:c r="D44" s="70" t="str">
        <x:v>SSoT + المحادثة</x:v>
      </x:c>
      <x:c r="E44" s="70" t="str">
        <x:v>عالٍ</x:v>
      </x:c>
      <x:c r="F44" s="70" t="str">
        <x:v>إلزامي تقنيًا مع تفاصيل صلاحيات</x:v>
      </x:c>
      <x:c r="G44" s="70" t="str">
        <x:v>اختبار تخزين/صلاحيات/رابط عام أو خاص.</x:v>
      </x:c>
      <x:c r="H44" s="70" t="str"/>
    </x:row>
    <x:row r="45" ht="66" customHeight="1">
      <x:c r="A45" s="70" t="str">
        <x:v>PRT-01</x:v>
      </x:c>
      <x:c r="B45" s="70" t="str">
        <x:v>الطابعة</x:v>
      </x:c>
      <x:c r="C45" s="70" t="str">
        <x:v>Zebra ZD220 عبر USB باستخدام Zebra Browser Print؛ لا دليل على طابعات إضافية أو اختبار مادي ناجح.</x:v>
      </x:c>
      <x:c r="D45" s="70" t="str">
        <x:v>ملحق v1.2</x:v>
      </x:c>
      <x:c r="E45" s="70" t="str">
        <x:v>حرج</x:v>
      </x:c>
      <x:c r="F45" s="70" t="str">
        <x:v>جهاز معروف؛ الاختبار معلق</x:v>
      </x:c>
      <x:c r="G45" s="70" t="str">
        <x:v>تقرير اختبار فعلي بعد اعتماد الليبل.</x:v>
      </x:c>
      <x:c r="H45" s="70" t="str">
        <x:v>PRT-01</x:v>
      </x:c>
    </x:row>
    <x:row r="46" ht="66" customHeight="1">
      <x:c r="A46" s="70" t="str">
        <x:v>PRT-02</x:v>
      </x:c>
      <x:c r="B46" s="70" t="str">
        <x:v>حالة الطباعة</x:v>
      </x:c>
      <x:c r="C46" s="70" t="str">
        <x:v>لا تسجل Printed دون نجاح فعلي من Browser Print/الطابعة؛ retries/reprints تحفظ التاريخ السابق.</x:v>
      </x:c>
      <x:c r="D46" s="70" t="str">
        <x:v>ملحق v1.2</x:v>
      </x:c>
      <x:c r="E46" s="70" t="str">
        <x:v>حرج</x:v>
      </x:c>
      <x:c r="F46" s="70" t="str">
        <x:v>مؤكد في الملحق</x:v>
      </x:c>
      <x:c r="G46" s="70" t="str">
        <x:v>تست فشل/نجاح/إعادة طباعة مع سجل غير قابل للمحو.</x:v>
      </x:c>
      <x:c r="H46" s="70" t="str">
        <x:v>PRT-01</x:v>
      </x:c>
    </x:row>
    <x:row r="47" ht="66" customHeight="1">
      <x:c r="A47" s="70" t="str">
        <x:v>PRT-03</x:v>
      </x:c>
      <x:c r="B47" s="70" t="str">
        <x:v>Printer Center</x:v>
      </x:c>
      <x:c r="C47" s="70" t="str">
        <x:v>Discovery/اختيار/حالة اتصال/Test print/queue/pause/resume/retry/cancel/reprint/error details متطلبات مسترجعة.</x:v>
      </x:c>
      <x:c r="D47" s="70" t="str">
        <x:v>مسترجع من المحادثة</x:v>
      </x:c>
      <x:c r="E47" s="70" t="str">
        <x:v>عالٍ</x:v>
      </x:c>
      <x:c r="F47" s="70" t="str">
        <x:v>مسترجع — تصميم مطلوب</x:v>
      </x:c>
      <x:c r="G47" s="70" t="str">
        <x:v>حالات الواجهة مربوطة باستجابات فعلية، لا simulation.</x:v>
      </x:c>
      <x:c r="H47" s="70" t="str">
        <x:v>PRT-01</x:v>
      </x:c>
    </x:row>
    <x:row r="48" ht="66" customHeight="1">
      <x:c r="A48" s="70" t="str">
        <x:v>CST-01</x:v>
      </x:c>
      <x:c r="B48" s="70" t="str">
        <x:v>المدد الحالية</x:v>
      </x:c>
      <x:c r="C48" s="70" t="str">
        <x:v>المراتب: 10 سنوات؛ المخدات والخداديات ومراتب التطرية: سنتان.</x:v>
      </x:c>
      <x:c r="D48" s="70" t="str">
        <x:v>توضيح المالك + ملحق v1.2</x:v>
      </x:c>
      <x:c r="E48" s="70" t="str">
        <x:v>حرج</x:v>
      </x:c>
      <x:c r="F48" s="70" t="str">
        <x:v>مؤكد في الملحق</x:v>
      </x:c>
      <x:c r="G48" s="70" t="str">
        <x:v>اختبارات السياسات الفعلية حسب فئة المنتج.</x:v>
      </x:c>
      <x:c r="H48" s="70" t="str"/>
    </x:row>
    <x:row r="49" ht="66" customHeight="1">
      <x:c r="A49" s="70" t="str">
        <x:v>CST-02</x:v>
      </x:c>
      <x:c r="B49" s="70" t="str">
        <x:v>هرمية الضمان</x:v>
      </x:c>
      <x:c r="C49" s="70" t="str">
        <x:v>Category Default → Brand Override → Model Override؛ نطاق 1–15 سنة وفق المعتمَد.</x:v>
      </x:c>
      <x:c r="D49" s="70" t="str">
        <x:v>SSoT + ملحق v1.2</x:v>
      </x:c>
      <x:c r="E49" s="70" t="str">
        <x:v>حرج</x:v>
      </x:c>
      <x:c r="F49" s="70" t="str">
        <x:v>إلزامي من المرجعية</x:v>
      </x:c>
      <x:c r="G49" s="70" t="str">
        <x:v>اختبار أولوية الموديل وعدم تغيير اللقطات القديمة.</x:v>
      </x:c>
      <x:c r="H49" s="70" t="str"/>
    </x:row>
    <x:row r="50" ht="66" customHeight="1">
      <x:c r="A50" s="70" t="str">
        <x:v>CST-03</x:v>
      </x:c>
      <x:c r="B50" s="70" t="str">
        <x:v>تاريخ بدء الضمان</x:v>
      </x:c>
      <x:c r="C50" s="70" t="str">
        <x:v>Consumer Invoice Date؛ لا Distributor Invoice ولا Internal Transfer Date.</x:v>
      </x:c>
      <x:c r="D50" s="70" t="str">
        <x:v>SSoT</x:v>
      </x:c>
      <x:c r="E50" s="70" t="str">
        <x:v>حرج</x:v>
      </x:c>
      <x:c r="F50" s="70" t="str">
        <x:v>إلزامي من المرجعية</x:v>
      </x:c>
      <x:c r="G50" s="70" t="str">
        <x:v>اختبار تاريخ البداية بمختلف أنواع الفواتير.</x:v>
      </x:c>
      <x:c r="H50" s="70" t="str"/>
    </x:row>
    <x:row r="51" ht="66" customHeight="1">
      <x:c r="A51" s="70" t="str">
        <x:v>CST-04</x:v>
      </x:c>
      <x:c r="B51" s="70" t="str">
        <x:v>Phase 09 invariants</x:v>
      </x:c>
      <x:c r="C51" s="70" t="str">
        <x:v>حفظ snapshot المدة/تاريخ النهاية عند التفعيل، منع التكرار، RPC معتمد، وعدم الكتابة المباشرة من العميل على warranty_activations.</x:v>
      </x:c>
      <x:c r="D51" s="70" t="str">
        <x:v>مرجعية + سجل شهادة تاريخي</x:v>
      </x:c>
      <x:c r="E51" s="70" t="str">
        <x:v>حرج</x:v>
      </x:c>
      <x:c r="F51" s="70" t="str">
        <x:v>حماية إلزامية؛ إعادة التحقق الحي غير منفذة</x:v>
      </x:c>
      <x:c r="G51" s="70" t="str">
        <x:v>اختبارات RPC/RLS/snapshot regression على البيئة المخوّلة.</x:v>
      </x:c>
      <x:c r="H51" s="70" t="str"/>
    </x:row>
    <x:row r="52" ht="66" customHeight="1">
      <x:c r="A52" s="70" t="str">
        <x:v>CS-01</x:v>
      </x:c>
      <x:c r="B52" s="70" t="str">
        <x:v>Service Case types</x:v>
      </x:c>
      <x:c r="C52" s="70" t="str">
        <x:v>Inquiry, Complaint, Warranty, Maintenance, Replacement, Follow-Up, Other.</x:v>
      </x:c>
      <x:c r="D52" s="70" t="str">
        <x:v>SSoT</x:v>
      </x:c>
      <x:c r="E52" s="70" t="str">
        <x:v>عالٍ</x:v>
      </x:c>
      <x:c r="F52" s="70" t="str">
        <x:v>إلزامي من المرجعية</x:v>
      </x:c>
      <x:c r="G52" s="70" t="str">
        <x:v>مطابقة القيم مع التطبيق والقاعدة.</x:v>
      </x:c>
      <x:c r="H52" s="70" t="str"/>
    </x:row>
    <x:row r="53" ht="66" customHeight="1">
      <x:c r="A53" s="70" t="str">
        <x:v>CS-02</x:v>
      </x:c>
      <x:c r="B53" s="70" t="str">
        <x:v>Service workflow</x:v>
      </x:c>
      <x:c r="C53" s="70" t="str">
        <x:v>Open → Assigned → In Progress → Resolved → Closed هو التدفق الأصلي.</x:v>
      </x:c>
      <x:c r="D53" s="70" t="str">
        <x:v>SSoT</x:v>
      </x:c>
      <x:c r="E53" s="70" t="str">
        <x:v>حرج</x:v>
      </x:c>
      <x:c r="F53" s="70" t="str">
        <x:v>إلزامي من المرجعية</x:v>
      </x:c>
      <x:c r="G53" s="70" t="str">
        <x:v>عدم تغيير الحالات دون Amendment.</x:v>
      </x:c>
      <x:c r="H53" s="70" t="str">
        <x:v>CS-01</x:v>
      </x:c>
    </x:row>
    <x:row r="54" ht="66" customHeight="1">
      <x:c r="A54" s="70" t="str">
        <x:v>CS-03</x:v>
      </x:c>
      <x:c r="B54" s="70" t="str">
        <x:v>Customer 360</x:v>
      </x:c>
      <x:c r="C54" s="70" t="str">
        <x:v>ملف موحد لتصفح العميل والمنتج والضمان والخدمة والإصلاح والاستبدال والمرفقات والملاحظات والتاريخ.</x:v>
      </x:c>
      <x:c r="D54" s="70" t="str">
        <x:v>SSoT + مسترجع من المحادثة</x:v>
      </x:c>
      <x:c r="E54" s="70" t="str">
        <x:v>عالٍ</x:v>
      </x:c>
      <x:c r="F54" s="70" t="str">
        <x:v>الوظائف ضمن المرجعية؛ دمج UX مسترجع</x:v>
      </x:c>
      <x:c r="G54" s="70" t="str">
        <x:v>تصميم UX وإثبات الصلاحيات دون دمج كل الجداول.</x:v>
      </x:c>
      <x:c r="H54" s="70" t="str"/>
    </x:row>
    <x:row r="55" ht="66" customHeight="1">
      <x:c r="A55" s="70" t="str">
        <x:v>CS-04</x:v>
      </x:c>
      <x:c r="B55" s="70" t="str">
        <x:v>Workflow موسع</x:v>
      </x:c>
      <x:c r="C55" s="70" t="str">
        <x:v>New/triage/assignment/inspection/decision/repair-replacement-compensation/advice/close ورد كاقتراح، لا كحالات معتمدة.</x:v>
      </x:c>
      <x:c r="D55" s="70" t="str">
        <x:v>مسودة المتطلبات القديمة</x:v>
      </x:c>
      <x:c r="E55" s="70" t="str">
        <x:v>عالٍ</x:v>
      </x:c>
      <x:c r="F55" s="70" t="str">
        <x:v>اقتراح غير معتمد</x:v>
      </x:c>
      <x:c r="G55" s="70" t="str">
        <x:v>موافقة المالك على الحالات والانتقالات ومتطلبات الإغلاق.</x:v>
      </x:c>
      <x:c r="H55" s="70" t="str">
        <x:v>CS-02</x:v>
      </x:c>
    </x:row>
    <x:row r="56" ht="66" customHeight="1">
      <x:c r="A56" s="70" t="str">
        <x:v>REP-01</x:v>
      </x:c>
      <x:c r="B56" s="70" t="str">
        <x:v>Replacement workflow</x:v>
      </x:c>
      <x:c r="C56" s="70" t="str">
        <x:v>Requested → Under Review → Approved → Replacement Issued → Completed.</x:v>
      </x:c>
      <x:c r="D56" s="70" t="str">
        <x:v>SSoT</x:v>
      </x:c>
      <x:c r="E56" s="70" t="str">
        <x:v>عالٍ</x:v>
      </x:c>
      <x:c r="F56" s="70" t="str">
        <x:v>إلزامي من المرجعية</x:v>
      </x:c>
      <x:c r="G56" s="70" t="str">
        <x:v>اختبار الانتقالات والصلاحيات وربط serial القديم بالجديد.</x:v>
      </x:c>
      <x:c r="H56" s="70" t="str"/>
    </x:row>
    <x:row r="57" ht="66" customHeight="1">
      <x:c r="A57" s="70" t="str">
        <x:v>REP-02</x:v>
      </x:c>
      <x:c r="B57" s="70" t="str">
        <x:v>Compensation</x:v>
      </x:c>
      <x:c r="C57" s="70" t="str">
        <x:v>سجل تعويض تشغيلي مقترح مرتبط بالخدمة/الاستبدال والسبب والقرار والوصف/القيمة عند الحاجة؛ ليس محاسبة.</x:v>
      </x:c>
      <x:c r="D57" s="70" t="str">
        <x:v>مسترجع من المحادثة</x:v>
      </x:c>
      <x:c r="E57" s="70" t="str">
        <x:v>عالٍ</x:v>
      </x:c>
      <x:c r="F57" s="70" t="str">
        <x:v>مقترح — سياسة الشركة والقانون معلّقان</x:v>
      </x:c>
      <x:c r="G57" s="70" t="str">
        <x:v>قرار سياسة مُعتمدة واختبار عدم بناء دفاتر محاسبية.</x:v>
      </x:c>
      <x:c r="H57" s="70" t="str">
        <x:v>NOT-09</x:v>
      </x:c>
    </x:row>
    <x:row r="58" ht="66" customHeight="1">
      <x:c r="A58" s="70" t="str">
        <x:v>REP-03</x:v>
      </x:c>
      <x:c r="B58" s="70" t="str">
        <x:v>Ownership transfer</x:v>
      </x:c>
      <x:c r="C58" s="70" t="str">
        <x:v>نقل الملكية يحافظ على المنتج والرقم نفسه وعلى حالة/مدة/تاريخ الضمان النشط؛ replacement منتج جديد دورة منفصلة.</x:v>
      </x:c>
      <x:c r="D58" s="70" t="str">
        <x:v>SSoT + ملحق v1.2</x:v>
      </x:c>
      <x:c r="E58" s="70" t="str">
        <x:v>عالٍ</x:v>
      </x:c>
      <x:c r="F58" s="70" t="str">
        <x:v>قاعدة مسجلة</x:v>
      </x:c>
      <x:c r="G58" s="70" t="str">
        <x:v>اختبار نقل دون توليد Serial جديد واختبار replacement linkage.</x:v>
      </x:c>
      <x:c r="H58" s="70" t="str"/>
    </x:row>
    <x:row r="59" ht="66" customHeight="1">
      <x:c r="A59" s="70" t="str">
        <x:v>PUB-01</x:v>
      </x:c>
      <x:c r="B59" s="70" t="str">
        <x:v>التحقق العام</x:v>
      </x:c>
      <x:c r="C59" s="70" t="str">
        <x:v>/verify عام Read Only يبحث عبر Serial/QR/Barcode ويعرض الحد الأدنى اللازم لبيانات المنتج/الضمان.</x:v>
      </x:c>
      <x:c r="D59" s="70" t="str">
        <x:v>SSoT</x:v>
      </x:c>
      <x:c r="E59" s="70" t="str">
        <x:v>حرج</x:v>
      </x:c>
      <x:c r="F59" s="70" t="str">
        <x:v>إلزامي من المرجعية</x:v>
      </x:c>
      <x:c r="G59" s="70" t="str">
        <x:v>اختبار عدم إظهار الاسم/الهاتف/الهوية/الفاتورة/المرفقات.</x:v>
      </x:c>
      <x:c r="H59" s="70" t="str"/>
    </x:row>
    <x:row r="60" ht="66" customHeight="1">
      <x:c r="A60" s="70" t="str">
        <x:v>PUB-02</x:v>
      </x:c>
      <x:c r="B60" s="70" t="str">
        <x:v>مساعدة العميل عبر QR</x:v>
      </x:c>
      <x:c r="C60" s="70" t="str">
        <x:v>صور/فاتورة/بدء طلب خدمة/شكوى/طلب استبدال واردة كأفكار؛ تتطلب مصادقة وخصوصية وسياسة تخزين قبل الإقرار.</x:v>
      </x:c>
      <x:c r="D60" s="70" t="str">
        <x:v>مسترجع من المحادثة</x:v>
      </x:c>
      <x:c r="E60" s="70" t="str">
        <x:v>عالٍ</x:v>
      </x:c>
      <x:c r="F60" s="70" t="str">
        <x:v>اقتراح يحتاج تصميم أمان/اعتماد</x:v>
      </x:c>
      <x:c r="G60" s="70" t="str">
        <x:v>Threat model وموافقة على ما يُسمح للجمهور بإرساله.</x:v>
      </x:c>
      <x:c r="H60" s="70" t="str">
        <x:v>PUB-01</x:v>
      </x:c>
    </x:row>
    <x:row r="61" ht="66" customHeight="1">
      <x:c r="A61" s="70" t="str">
        <x:v>RPT-01</x:v>
      </x:c>
      <x:c r="B61" s="70" t="str">
        <x:v>التقارير</x:v>
      </x:c>
      <x:c r="C61" s="70" t="str">
        <x:v>تقارير الإنتاج والضمان والخدمة والاستبدال والطباعة والإدارة.</x:v>
      </x:c>
      <x:c r="D61" s="70" t="str">
        <x:v>SSoT</x:v>
      </x:c>
      <x:c r="E61" s="70" t="str">
        <x:v>عالٍ</x:v>
      </x:c>
      <x:c r="F61" s="70" t="str">
        <x:v>إلزامي من المرجعية</x:v>
      </x:c>
      <x:c r="G61" s="70" t="str">
        <x:v>تقرير حسب صلاحيات ومصدر بيانات موثق.</x:v>
      </x:c>
      <x:c r="H61" s="70" t="str"/>
    </x:row>
    <x:row r="62" ht="66" customHeight="1">
      <x:c r="A62" s="70" t="str">
        <x:v>RPT-02</x:v>
      </x:c>
      <x:c r="B62" s="70" t="str">
        <x:v>التصدير والتحليل</x:v>
      </x:c>
      <x:c r="C62" s="70" t="str">
        <x:v>CSV/XLSX/JSON/PDF وdatasets/API-ready؛ تكامل مباشر مع أدوات طرف ثالث ليس مضمونًا دون تحديد/اختبار.</x:v>
      </x:c>
      <x:c r="D62" s="70" t="str">
        <x:v>ملحق v1.2 + محادثة</x:v>
      </x:c>
      <x:c r="E62" s="70" t="str">
        <x:v>عالٍ</x:v>
      </x:c>
      <x:c r="F62" s="70" t="str">
        <x:v>متطلب مسجل جزئيًا؛ التوصيلات مفصلة لاحقًا</x:v>
      </x:c>
      <x:c r="G62" s="70" t="str">
        <x:v>اختبار تصدير ودقة وخصوصية كل تقرير.</x:v>
      </x:c>
      <x:c r="H62" s="70" t="str"/>
    </x:row>
    <x:row r="63" ht="66" customHeight="1">
      <x:c r="A63" s="70" t="str">
        <x:v>DQC-01</x:v>
      </x:c>
      <x:c r="B63" s="70" t="str">
        <x:v>Data Quality Center</x:v>
      </x:c>
      <x:c r="C63" s="70" t="str">
        <x:v>فحوص منتج بلا BOM، Serial بلا Batch، Batch بلا أمر، Print Job بلا قالب، بيانات ناقصة/مكررة.</x:v>
      </x:c>
      <x:c r="D63" s="70" t="str">
        <x:v>مسترجع من المحادثة</x:v>
      </x:c>
      <x:c r="E63" s="70" t="str">
        <x:v>متوسط</x:v>
      </x:c>
      <x:c r="F63" s="70" t="str">
        <x:v>مقترح — يحتاج اعتماد نطاق</x:v>
      </x:c>
      <x:c r="G63" s="70" t="str">
        <x:v>مخرجات قابلة للتتبع ولا تُصلح البيانات آليًا دون موافقة.</x:v>
      </x:c>
      <x:c r="H63" s="70" t="str"/>
    </x:row>
    <x:row r="64" ht="66" customHeight="1">
      <x:c r="A64" s="70" t="str">
        <x:v>TRC-01</x:v>
      </x:c>
      <x:c r="B64" s="70" t="str">
        <x:v>Traceability/Genealogy</x:v>
      </x:c>
      <x:c r="C64" s="70" t="str">
        <x:v>ربط Serial → Batch → Order → Product/BOM/Routing versions → Print → sale/warranty/service/replacement بحسب البيانات المتاحة.</x:v>
      </x:c>
      <x:c r="D64" s="70" t="str">
        <x:v>SSoT + مسترجع</x:v>
      </x:c>
      <x:c r="E64" s="70" t="str">
        <x:v>عالٍ</x:v>
      </x:c>
      <x:c r="F64" s="70" t="str">
        <x:v>جزء أساسي؛ روابط النسخ تتطلب تصميم</x:v>
      </x:c>
      <x:c r="G64" s="70" t="str">
        <x:v>تتبع طرف لطرف مع عدم فقد التاريخ.</x:v>
      </x:c>
      <x:c r="H64" s="70" t="str"/>
    </x:row>
    <x:row r="65" ht="66" customHeight="1">
      <x:c r="A65" s="70" t="str">
        <x:v>SEC-01</x:v>
      </x:c>
      <x:c r="B65" s="70" t="str">
        <x:v>خصوصية Storage</x:v>
      </x:c>
      <x:c r="C65" s="70" t="str">
        <x:v>الفصل بين العام والخاص وحماية بيانات العميل والمرفقات عبر RLS/Storage.</x:v>
      </x:c>
      <x:c r="D65" s="70" t="str">
        <x:v>SSoT + ملحق v1.2</x:v>
      </x:c>
      <x:c r="E65" s="70" t="str">
        <x:v>حرج</x:v>
      </x:c>
      <x:c r="F65" s="70" t="str">
        <x:v>إلزامي</x:v>
      </x:c>
      <x:c r="G65" s="70" t="str">
        <x:v>اختبارات لاختراق صلاحيات القراءة/التحميل وروابط المرفقات.</x:v>
      </x:c>
      <x:c r="H65" s="70" t="str"/>
    </x:row>
    <x:row r="66" ht="66" customHeight="1">
      <x:c r="A66" s="70" t="str">
        <x:v>ROLE-01</x:v>
      </x:c>
      <x:c r="B66" s="70" t="str">
        <x:v>الأدوار</x:v>
      </x:c>
      <x:c r="C66" s="70" t="str">
        <x:v>أسماء SSoT السبعة حاكمة؛ التنفيذ يختلف في بعض أسماء Customer Service/Warranty/Service Manager؛ تعدد الأدوار تفضيل للمالك يحتاج mapping.</x:v>
      </x:c>
      <x:c r="D66" s="70" t="str">
        <x:v>SSoT + ملحق v1.2 + ذاكرة المشروع</x:v>
      </x:c>
      <x:c r="E66" s="70" t="str">
        <x:v>حرج</x:v>
      </x:c>
      <x:c r="F66" s="70" t="str">
        <x:v>قرار/Mapping معلق</x:v>
      </x:c>
      <x:c r="G66" s="70" t="str">
        <x:v>اعتماد مصفوفة role-to-permission قبل أي Auth/RLS change.</x:v>
      </x:c>
      <x:c r="H66" s="70" t="str">
        <x:v>NOT-01</x:v>
      </x:c>
    </x:row>
    <x:row r="67" ht="66" customHeight="1">
      <x:c r="A67" s="70" t="str">
        <x:v>ENV-01</x:v>
      </x:c>
      <x:c r="B67" s="70" t="str">
        <x:v>خط الأساس البرمجي</x:v>
      </x:c>
      <x:c r="C67" s="70" t="str">
        <x:v>حزمة Phase10–18 تختلف عن Phase09؛ لا دمج/overlay عشوائي؛ build/lint لم يثبتا في التدقيق السابق.</x:v>
      </x:c>
      <x:c r="D67" s="70" t="str">
        <x:v>تقرير التدقيق 2026-10-10</x:v>
      </x:c>
      <x:c r="E67" s="70" t="str">
        <x:v>حرج</x:v>
      </x:c>
      <x:c r="F67" s="70" t="str">
        <x:v>NOT VERIFIED</x:v>
      </x:c>
      <x:c r="G67" s="70" t="str">
        <x:v>تحديد مستودع Phase baseline ثم clean install/lint/build/tests.</x:v>
      </x:c>
      <x:c r="H67" s="70" t="str">
        <x:v>NOT-02</x:v>
      </x:c>
    </x:row>
    <x:row r="68" ht="66" customHeight="1">
      <x:c r="A68" s="70" t="str">
        <x:v>ENV-02</x:v>
      </x:c>
      <x:c r="B68" s="70" t="str">
        <x:v>Supabase live state</x:v>
      </x:c>
      <x:c r="C68" s="70" t="str">
        <x:v>لم يفحص المخطط الحي وAuth/RLS/RPC/Storage/Realtime في المراجعة السابقة.</x:v>
      </x:c>
      <x:c r="D68" s="70" t="str">
        <x:v>تقرير التدقيق 2026-10-10</x:v>
      </x:c>
      <x:c r="E68" s="70" t="str">
        <x:v>حرج</x:v>
      </x:c>
      <x:c r="F68" s="70" t="str">
        <x:v>NOT VERIFIED</x:v>
      </x:c>
      <x:c r="G68" s="70" t="str">
        <x:v>قراءة فقط وجرد/نسخة احتياطية قبل أي migration.</x:v>
      </x:c>
      <x:c r="H68" s="70" t="str">
        <x:v>NOT-03</x:v>
      </x:c>
    </x:row>
    <x:row r="69" ht="66" customHeight="1">
      <x:c r="A69" s="70" t="str">
        <x:v>ENV-03</x:v>
      </x:c>
      <x:c r="B69" s="70" t="str">
        <x:v>مستودع GitHub</x:v>
      </x:c>
      <x:c r="C69" s="70" t="str">
        <x:v>المستودع الذي ظهر عبر الاتصال الحالي `highsleep/Codex` يحتوي آثار Firebase/Firestore ولم يثبت أنه مستودع Sleepee الرسمي.</x:v>
      </x:c>
      <x:c r="D69" s="70" t="str">
        <x:v>مراجعة الاتصال/تقرير التدقيق</x:v>
      </x:c>
      <x:c r="E69" s="70" t="str">
        <x:v>حرج</x:v>
      </x:c>
      <x:c r="F69" s="70" t="str">
        <x:v>BLOCKED — يلزم تحديد المستودع الصحيح</x:v>
      </x:c>
      <x:c r="G69" s="70" t="str">
        <x:v>تأكيد المستودع الصحيح ثم فحص read-only للفرع والالتزامات.</x:v>
      </x:c>
      <x:c r="H69" s="70" t="str">
        <x:v>NOT-04</x:v>
      </x:c>
    </x:row>
    <x:row r="70" ht="66" customHeight="1">
      <x:c r="A70" s="78" t="str">
        <x:v>ENV-04</x:v>
      </x:c>
      <x:c r="B70" s="78" t="str">
        <x:v>وثائق النشر</x:v>
      </x:c>
      <x:c r="C70" s="78" t="str">
        <x:v>تعليمات النشر تتعارض: DEPLOYMENT_CHECKLIST يطلب schema.sql في الجذر لكن حزمة Phase 10–18 لا تحتويه؛ وثيقة أخرى تمنع تشغيل legacy schema.</x:v>
      </x:c>
      <x:c r="D70" s="78" t="str">
        <x:v>تقرير التدقيق 2026-10-10</x:v>
      </x:c>
      <x:c r="E70" s="78" t="str">
        <x:v>حرج</x:v>
      </x:c>
      <x:c r="F70" s="78" t="str">
        <x:v>NOT VERIFIED</x:v>
      </x:c>
      <x:c r="G70" s="78" t="str">
        <x:v>توحيد وثائق النشر ومطابقتها مع baseline والمخطط الحي قبل أي نشر.</x:v>
      </x:c>
      <x:c r="H70" s="78" t="str">
        <x:v>ENV-03</x:v>
      </x:c>
    </x:row>
    <x:row r="71" ht="66" customHeight="1">
      <x:c r="A71" s="78" t="str">
        <x:v>ENV-05</x:v>
      </x:c>
      <x:c r="B71" s="78" t="str">
        <x:v>التبعيات</x:v>
      </x:c>
      <x:c r="C71" s="78" t="str">
        <x:v>@google/genai وExpress وGEMINI_API_KEY بدت غير مستخدمة في فحص المصدر؛ يجب تأكيد ذلك قبل cleanup.</x:v>
      </x:c>
      <x:c r="D71" s="78" t="str">
        <x:v>تقرير التدقيق 2026-10-10</x:v>
      </x:c>
      <x:c r="E71" s="78" t="str">
        <x:v>متوسط</x:v>
      </x:c>
      <x:c r="F71" s="78" t="str">
        <x:v>NOT VERIFIED</x:v>
      </x:c>
      <x:c r="G71" s="78" t="str">
        <x:v>فحص imports/scripts/runtime أولًا؛ الإزالة فقط في تنظيف معتمد.</x:v>
      </x:c>
      <x:c r="H71" s="78" t="str">
        <x:v>ENV-03</x:v>
      </x:c>
    </x:row>
    <x:row r="72" ht="66" customHeight="1">
      <x:c r="A72" s="78" t="str">
        <x:v>ENV-06</x:v>
      </x:c>
      <x:c r="B72" s="78" t="str">
        <x:v>نطاق المرحلة</x:v>
      </x:c>
      <x:c r="C72" s="78" t="str">
        <x:v>حزمة التنفيذ المرفقة تغطي Phase 10–18 ولا تتضمن أثر Phase 19.</x:v>
      </x:c>
      <x:c r="D72" s="78" t="str">
        <x:v>اسم/محتويات ZIP + تقرير التدقيق</x:v>
      </x:c>
      <x:c r="E72" s="78" t="str">
        <x:v>متوسط</x:v>
      </x:c>
      <x:c r="F72" s="78" t="str">
        <x:v>معلق</x:v>
      </x:c>
      <x:c r="G72" s="78" t="str">
        <x:v>تحديد هل Phase 19 ضمن نطاق الإصدار التالي وعدم إعادة تسمية الحزمة 10–19.</x:v>
      </x:c>
      <x:c r="H72" s="78" t="str">
        <x:v>ENV-03</x:v>
      </x:c>
    </x:row>
    <x:row r="73" ht="66" customHeight="1">
      <x:c r="A73" s="78" t="str">
        <x:v>UI-08</x:v>
      </x:c>
      <x:c r="B73" s="78" t="str">
        <x:v>صفحة التحقق العامة</x:v>
      </x:c>
      <x:c r="C73" s="78" t="str">
        <x:v>في PublicPortalView.tsx ورد أن warranty_start (تاريخ الفاتورة) يظهر تحت تسمية invoice_no (رقم الفاتورة).</x:v>
      </x:c>
      <x:c r="D73" s="78" t="str">
        <x:v>تقرير التدقيق 2026-10-10</x:v>
      </x:c>
      <x:c r="E73" s="78" t="str">
        <x:v>متوسط</x:v>
      </x:c>
      <x:c r="F73" s="78" t="str">
        <x:v>NOT VERIFIED</x:v>
      </x:c>
      <x:c r="G73" s="78" t="str">
        <x:v>مطابقة حقل الواجهة وتسميته بمصدر القيم ثم اختبار الصفحة العامة.</x:v>
      </x:c>
      <x:c r="H73" s="78" t="str"/>
    </x:row>
    <x:row r="74" ht="66" customHeight="1">
      <x:c r="A74" s="78" t="str">
        <x:v>DATA-01</x:v>
      </x:c>
      <x:c r="B74" s="78" t="str">
        <x:v>مصدر الاسم القانوني</x:v>
      </x:c>
      <x:c r="C74" s="78" t="str">
        <x:v>ورقة هندسية تستخدم «السست» بينما الاسم القانوني في SSoT هو «السوست»؛ لا تُعدّل المصدر الخام آليًا.</x:v>
      </x:c>
      <x:c r="D74" s="78" t="str">
        <x:v>ملحق المراجعة v1.2</x:v>
      </x:c>
      <x:c r="E74" s="78" t="str">
        <x:v>متوسط</x:v>
      </x:c>
      <x:c r="F74" s="78" t="str">
        <x:v>معلق</x:v>
      </x:c>
      <x:c r="G74" s="78" t="str">
        <x:v>الحفاظ على الهوية القانونية؛ مراجعة spelling قبل أي import للبيانات الرئيسية.</x:v>
      </x:c>
      <x:c r="H74" s="78" t="str"/>
    </x:row>
    <x:row r="75">
      <x:c r="A75" t="str">
        <x:v>MFG-08</x:v>
      </x:c>
      <x:c r="B75" t="str">
        <x:v>أزمنة التشغيل ومخرجات الدورة</x:v>
      </x:c>
      <x:c r="C75" t="str">
        <x:v>يُسجّل الزمن ومخرجات الدورة لكل موديل/خط وفق المصدر. مثال المالك: Infinity 57 دقيقة تتيح 9 مراتب في الدورة عند احتساب طاولات التنجيد والتجميع التسع؛ لا تعميم للكمية على كل الموديلات.</x:v>
      </x:c>
      <x:c r="D75" t="str">
        <x:v>توضيح المالك في المحادثة القديمة + Models BOM.xlsx / وقت التشغيل</x:v>
      </x:c>
      <x:c r="E75" t="str">
        <x:v>عالٍ</x:v>
      </x:c>
      <x:c r="F75" t="str">
        <x:v>توضيح مؤكد للمثال؛ جدول كل موديل/خط مطلوب</x:v>
      </x:c>
      <x:c r="G75" t="str">
        <x:v>مقارنة مصدرية لكل موديل/خط؛ يحتفظ بزمن المصدر وبكمية المخرجات كلٌ على حدة؛ لا تقسيم للزمن بالتخمين.</x:v>
      </x:c>
      <x:c r="H75" t="str">
        <x:v>MFG-02 / MFG-03</x:v>
      </x:c>
    </x:row>
  </x:sheetData>
  <x:mergeCells>
    <x:mergeCell ref="A1:H1"/>
    <x:mergeCell ref="A2:H2"/>
  </x:mergeCells>
  <x:conditionalFormatting sqref="E5:E69">
    <x:cfRule type="expression" dxfId="0" priority="1">
      <x:formula>E5="حرج"</x:formula>
    </x:cfRule>
    <x:cfRule type="expression" dxfId="1" priority="2">
      <x:formula>E5="عالٍ"</x:formula>
    </x:cfRule>
  </x:conditionalFormatting>
  <x:dataValidations count="4">
    <x:dataValidation type="list" sqref="E5:E69">
      <x:formula1>"حرج,عالٍ,متوسط,منخفض"</x:formula1>
    </x:dataValidation>
    <x:dataValidation type="list" sqref="F5:F69">
      <x:formula1>"إلزامي من المرجعية,مسجل في الملحق,مسترجع — يحتاج اعتماد Blueprint,مسترجع — تصميم تفصيلي مطلوب,اقتراح تصميم — يحتاج اعتماد,معلق,NOT VERIFIED,BLOCKED"</x:formula1>
    </x:dataValidation>
    <x:dataValidation type="list" sqref="E5:E74">
      <x:formula1>"حرج,عالٍ,متوسط,منخفض"</x:formula1>
    </x:dataValidation>
    <x:dataValidation type="list" sqref="F5:F74">
      <x:formula1>"إلزامي من المرجعية,مسجل في الملحق,مسترجع — يحتاج اعتماد Blueprint,مسترجع — تصميم تفصيلي مطلوب,اقتراح تصميم — يحتاج اعتماد,معلق,NOT VERIFIED,BLOCKED"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74b4a2ac42497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42" hidden="0" customWidth="1"/>
    <x:col min="4" max="4" width="49" hidden="0" customWidth="1"/>
    <x:col min="5" max="5" width="48" hidden="0" customWidth="1"/>
    <x:col min="6" max="6" width="12" hidden="0" customWidth="1"/>
    <x:col min="7" max="7" width="15" hidden="0" customWidth="1"/>
    <x:col min="8" max="8" width="37" hidden="0" customWidth="1"/>
    <x:col min="9" max="9" width="29" hidden="0" customWidth="1"/>
  </x:cols>
  <x:sheetData>
    <x:row r="1" ht="32" customHeight="1">
      <x:c r="A1" s="6" t="str">
        <x:v>سجل القرارات والفجوات</x:v>
      </x:c>
      <x:c r="B1" s="6"/>
      <x:c r="C1" s="6"/>
      <x:c r="D1" s="6"/>
      <x:c r="E1" s="6"/>
      <x:c r="F1" s="6"/>
      <x:c r="G1" s="6"/>
      <x:c r="H1" s="6"/>
      <x:c r="I1" s="6"/>
    </x:row>
    <x:row r="2" ht="34" customHeight="1">
      <x:c r="A2" s="16" t="str">
        <x:v>كل بند معلّق يمنع الإجراء التابع له فقط؛ لا تُحل فجوة أو تعارض بالتخمين.</x:v>
      </x:c>
      <x:c r="B2" s="16"/>
      <x:c r="C2" s="16"/>
      <x:c r="D2" s="16"/>
      <x:c r="E2" s="16"/>
      <x:c r="F2" s="16"/>
      <x:c r="G2" s="16"/>
      <x:c r="H2" s="16"/>
      <x:c r="I2" s="16"/>
    </x:row>
    <x:row r="4" ht="34" customHeight="1">
      <x:c r="A4" s="63" t="str">
        <x:v>المعرّف</x:v>
      </x:c>
      <x:c r="B4" s="63" t="str">
        <x:v>المجال</x:v>
      </x:c>
      <x:c r="C4" s="63" t="str">
        <x:v>السؤال / التعارض</x:v>
      </x:c>
      <x:c r="D4" s="63" t="str">
        <x:v>المعروف</x:v>
      </x:c>
      <x:c r="E4" s="63" t="str">
        <x:v>الإجراء المطلوب</x:v>
      </x:c>
      <x:c r="F4" s="63" t="str">
        <x:v>الأولوية</x:v>
      </x:c>
      <x:c r="G4" s="63" t="str">
        <x:v>الحالة</x:v>
      </x:c>
      <x:c r="H4" s="63" t="str">
        <x:v>أثر عدم الحسم</x:v>
      </x:c>
      <x:c r="I4" s="63" t="str">
        <x:v>المصدر</x:v>
      </x:c>
    </x:row>
    <x:row r="5" ht="78" customHeight="1">
      <x:c r="A5" s="70" t="str">
        <x:v>NAV-01</x:v>
      </x:c>
      <x:c r="B5" s="70" t="str">
        <x:v>الواجهة</x:v>
      </x:c>
      <x:c r="C5" s="70" t="str">
        <x:v>هل تظل المراكز الرئيسية أربعة كما في ملحق v1.2 أم تصبح مراكز مستقلة متعددة؟</x:v>
      </x:c>
      <x:c r="D5" s="70" t="str">
        <x:v>الملحق يسجل Dashboard + Production &amp; Manufacturing + Warranty &amp; Customer Service + Reports &amp; Analytics + Administration + /verify. المحادثة تضمنت أسماء مراكز فرعية إضافية.</x:v>
      </x:c>
      <x:c r="E5" s="70" t="str">
        <x:v>اعتماد خريطة تنقل. المقترح: المراكز الإضافية صفحات/مساحات فرعية إلا إذا اعتمد تغيير رسمي.</x:v>
      </x:c>
      <x:c r="F5" s="70" t="str">
        <x:v>عالٍ</x:v>
      </x:c>
      <x:c r="G5" s="70" t="str">
        <x:v>معلّق</x:v>
      </x:c>
      <x:c r="H5" s="70" t="str">
        <x:v>تضخم القائمة الرئيسية أو اختلاف عن هيكل الواجهة المستهدف.</x:v>
      </x:c>
      <x:c r="I5" s="70" t="str">
        <x:v>ملحق المراجعة v1.2 + المحادثة القديمة</x:v>
      </x:c>
    </x:row>
    <x:row r="6" ht="78" customHeight="1">
      <x:c r="A6" s="70" t="str">
        <x:v>ROLE-01</x:v>
      </x:c>
      <x:c r="B6" s="70" t="str">
        <x:v>الصلاحيات</x:v>
      </x:c>
      <x:c r="C6" s="70" t="str">
        <x:v>تطابق أسماء أدوار SSoT مع الأسماء التنفيذية وتوضيح كلمة Sales.</x:v>
      </x:c>
      <x:c r="D6" s="70" t="str">
        <x:v>الأصل يسرد Customer Service User وWarranty Manager وRead Only User؛ ZIP يذكر Agent/Officer/Service Manager. المالك يفضل تعدد الأدوار لكل موظف.</x:v>
      </x:c>
      <x:c r="E6" s="70" t="str">
        <x:v>اعتماد mapping/Amendment ومصفوفة permissions قبل أي Auth/RLS change.</x:v>
      </x:c>
      <x:c r="F6" s="70" t="str">
        <x:v>حرج</x:v>
      </x:c>
      <x:c r="G6" s="70" t="str">
        <x:v>معلّق</x:v>
      </x:c>
      <x:c r="H6" s="70" t="str">
        <x:v>مخاطر صلاحيات أو كسر RLS.</x:v>
      </x:c>
      <x:c r="I6" s="70" t="str">
        <x:v>SSoT + ملحق v1.2</x:v>
      </x:c>
    </x:row>
    <x:row r="7" ht="78" customHeight="1">
      <x:c r="A7" s="70" t="str">
        <x:v>ENV-01</x:v>
      </x:c>
      <x:c r="B7" s="70" t="str">
        <x:v>GitHub</x:v>
      </x:c>
      <x:c r="C7" s="70" t="str">
        <x:v>ما هو مستودع Sleepee الرسمي والفرع المرجعي؟</x:v>
      </x:c>
      <x:c r="D7" s="70" t="str">
        <x:v>المستودع الظاهر عبر الاتصال الحالي highsleep/Codex لم يثبت أنه مشروع Sleepee ويحتوي آثار Firebase/Firestore.</x:v>
      </x:c>
      <x:c r="E7" s="70" t="str">
        <x:v>تحديد URL/owner/repo والفرع فقط؛ بعدها فحص قراءة فقط.</x:v>
      </x:c>
      <x:c r="F7" s="70" t="str">
        <x:v>حرج</x:v>
      </x:c>
      <x:c r="G7" s="70" t="str">
        <x:v>معلّق</x:v>
      </x:c>
      <x:c r="H7" s="70" t="str">
        <x:v>لا يمكن اعتماد نسخة التنفيذ أو سلامة التغييرات.</x:v>
      </x:c>
      <x:c r="I7" s="70" t="str">
        <x:v>تقرير التدقيق 2026-10-10</x:v>
      </x:c>
    </x:row>
    <x:row r="8" ht="78" customHeight="1">
      <x:c r="A8" s="70" t="str">
        <x:v>ENV-02</x:v>
      </x:c>
      <x:c r="B8" s="70" t="str">
        <x:v>Supabase</x:v>
      </x:c>
      <x:c r="C8" s="70" t="str">
        <x:v>ما بيانات الربط/طريقة القراءة الآمنة لفحص المشروع الحي؟</x:v>
      </x:c>
      <x:c r="D8" s="70" t="str">
        <x:v>الحالة الحية لم تُفحص؛ لا دليل LIVE-VERIFIED.</x:v>
      </x:c>
      <x:c r="E8" s="70" t="str">
        <x:v>تحديد مشروع Supabase الحالي وصلاحية قراءة آمنة/تقرير schema؛ دون إرسال secrets في الدردشة.</x:v>
      </x:c>
      <x:c r="F8" s="70" t="str">
        <x:v>حرج</x:v>
      </x:c>
      <x:c r="G8" s="70" t="str">
        <x:v>معلّق</x:v>
      </x:c>
      <x:c r="H8" s="70" t="str">
        <x:v>لا يمكن اعتماد نسخة التنفيذ أو سلامة التغييرات.</x:v>
      </x:c>
      <x:c r="I8" s="70" t="str">
        <x:v>تقرير التدقيق 2026-10-10</x:v>
      </x:c>
    </x:row>
    <x:row r="9" ht="78" customHeight="1">
      <x:c r="A9" s="70" t="str">
        <x:v>ENV-03</x:v>
      </x:c>
      <x:c r="B9" s="70" t="str">
        <x:v>النسخة الموحدة</x:v>
      </x:c>
      <x:c r="C9" s="70" t="str">
        <x:v>ما النسخة/الفرع النهائي المختار بين Phase09 Fixed وPhase10–18 Unified؟</x:v>
      </x:c>
      <x:c r="D9" s="70" t="str">
        <x:v>الحزمتان مختلفتان ولا يجوز overlay؛ ZIP 10–18 بلا root schema والـbuild/lint غير متحققين في الفحص السابق.</x:v>
      </x:c>
      <x:c r="E9" s="70" t="str">
        <x:v>مطابقة GitHub والنسختين، ثم اختيار baseline مع أدلة وتوحيد وثائق النشر.</x:v>
      </x:c>
      <x:c r="F9" s="70" t="str">
        <x:v>حرج</x:v>
      </x:c>
      <x:c r="G9" s="70" t="str">
        <x:v>معلّق</x:v>
      </x:c>
      <x:c r="H9" s="70" t="str">
        <x:v>لا يمكن اعتماد نسخة التنفيذ أو سلامة التغييرات.</x:v>
      </x:c>
      <x:c r="I9" s="70" t="str">
        <x:v>حزم ZIP + تقرير التدقيق</x:v>
      </x:c>
    </x:row>
    <x:row r="10" ht="78" customHeight="1">
      <x:c r="A10" s="70" t="str">
        <x:v>MFG-01</x:v>
      </x:c>
      <x:c r="B10" s="70" t="str">
        <x:v>الطاولات</x:v>
      </x:c>
      <x:c r="C10" s="70" t="str">
        <x:v>كيف يتوزع إجمالي 10 طاولات مع ذكر 9 طاولات في التنجيد والتجميع؟</x:v>
      </x:c>
      <x:c r="D10" s="70" t="str">
        <x:v>معلوم 10 إجمالًا وورد 9 لهذا القسم؛ لا نعرف توزيع الباقي أو فرضيات التوازي.</x:v>
      </x:c>
      <x:c r="E10" s="70" t="str">
        <x:v>خريطة طاولات/أقسام وخطوط موثقة من المصنع.</x:v>
      </x:c>
      <x:c r="F10" s="70" t="str">
        <x:v>عالٍ</x:v>
      </x:c>
      <x:c r="G10" s="70" t="str">
        <x:v>معلّق</x:v>
      </x:c>
      <x:c r="H10" s="70" t="str">
        <x:v>احتمال بيانات تصنيع أو طاقة إنتاجية غير صحيحة.</x:v>
      </x:c>
      <x:c r="I10" s="70" t="str">
        <x:v>شرح المالك + ملحق v1.2</x:v>
      </x:c>
    </x:row>
    <x:row r="11" ht="78" customHeight="1">
      <x:c r="A11" s="70" t="str">
        <x:v>MFG-02</x:v>
      </x:c>
      <x:c r="B11" s="70" t="str">
        <x:v>أزمنة التشغيل</x:v>
      </x:c>
      <x:c r="C11" s="70" t="str">
        <x:v>تفسير زمن التشغيل ومخرجات الدورة</x:v>
      </x:c>
      <x:c r="D11" s="70" t="str">
        <x:v>المالك أوضح أن الزمن المعبّر عنه يشمل دورة تصنيع الموديل، وأن المثال Infinity = 57 دقيقة مع 9 طاولات في قسم التنجيد والتجميع يعني 9 مراتب في تلك الدورة؛ لا يُعامل كأنه مرتبة واحدة.</x:v>
      </x:c>
      <x:c r="E11" s="70" t="str">
        <x:v>تثبيت هذا المثال في التصميم. حصر مخرجات/زمن ومسار كل موديل وخط من المصدر أو من المالك؛ لا تعميم كمية 9 على كل الموديلات، ولا توزيع الزمن على الأقسام بالتخمين.</x:v>
      </x:c>
      <x:c r="F11" s="70" t="str">
        <x:v>عالٍ</x:v>
      </x:c>
      <x:c r="G11" s="70" t="str">
        <x:v>تم توضيح المثال؛ تفاصيل كل موديل/خط ما زالت مطلوبة</x:v>
      </x:c>
      <x:c r="H11" s="70" t="str">
        <x:v>احتمال حساب طاقة أو تخطيط غير صحيح إذا عُمم المثال أو اعتُبر الزمن لوحدة منتج واحدة.</x:v>
      </x:c>
      <x:c r="I11" s="70" t="str">
        <x:v>توضيح المالك في المحادثة القديمة + Models BOM.xlsx / وقت التشغيل</x:v>
      </x:c>
    </x:row>
    <x:row r="12" ht="78" customHeight="1">
      <x:c r="A12" s="70" t="str">
        <x:v>MFG-03</x:v>
      </x:c>
      <x:c r="B12" s="70" t="str">
        <x:v>Routing</x:v>
      </x:c>
      <x:c r="C12" s="70" t="str">
        <x:v>أي موديل/خط/ماكينة يستخدم أي عمليات وأزمنة؟</x:v>
      </x:c>
      <x:c r="D12" s="70" t="str">
        <x:v>الطرق تختلف حسب construction، الوجهين/Top-only، Pillow Top/Wall، Pocket/Bonnell/Foam/Rebond وخط التشكيل.</x:v>
      </x:c>
      <x:c r="E12" s="70" t="str">
        <x:v>إعداد route matrix من BOM/المصنع والتحقق الميداني؛ البدء بعينات محددة.</x:v>
      </x:c>
      <x:c r="F12" s="70" t="str">
        <x:v>عالٍ</x:v>
      </x:c>
      <x:c r="G12" s="70" t="str">
        <x:v>معلّق</x:v>
      </x:c>
      <x:c r="H12" s="70" t="str">
        <x:v>احتمال بيانات تصنيع أو طاقة إنتاجية غير صحيحة.</x:v>
      </x:c>
      <x:c r="I12" s="70" t="str">
        <x:v>Models BOM.xlsx + توضيح الطبقات</x:v>
      </x:c>
    </x:row>
    <x:row r="13" ht="78" customHeight="1">
      <x:c r="A13" s="70" t="str">
        <x:v>MFG-04</x:v>
      </x:c>
      <x:c r="B13" s="70" t="str">
        <x:v>Rrstcalm</x:v>
      </x:c>
      <x:c r="C13" s="70" t="str">
        <x:v>عرض بلصة العرض 78 أم 80 سم؟</x:v>
      </x:c>
      <x:c r="D13" s="70" t="str">
        <x:v>الكود يدل على 78، والوصف والكمية يوحيان بقطعتين 80×17×10؛ HR وMemory Foam حشو داخلي وليسا بلصات.</x:v>
      </x:c>
      <x:c r="E13" s="70" t="str">
        <x:v>اعتماد قيمة من مصدر هندسي موثوق؛ لا تعديل آلي.</x:v>
      </x:c>
      <x:c r="F13" s="70" t="str">
        <x:v>عالٍ</x:v>
      </x:c>
      <x:c r="G13" s="70" t="str">
        <x:v>معلّق</x:v>
      </x:c>
      <x:c r="H13" s="70" t="str">
        <x:v>احتمال بيانات تصنيع أو طاقة إنتاجية غير صحيحة.</x:v>
      </x:c>
      <x:c r="I13" s="70" t="str">
        <x:v>Models BOM.xlsx / Rrstcalm</x:v>
      </x:c>
    </x:row>
    <x:row r="14" ht="78" customHeight="1">
      <x:c r="A14" s="70" t="str">
        <x:v>MFG-05</x:v>
      </x:c>
      <x:c r="B14" s="70" t="str">
        <x:v>أزمنة الصف غير المسمى</x:v>
      </x:c>
      <x:c r="C14" s="70" t="str">
        <x:v>ما المنتج المقصود بالصف الذي فيه 150 تحت Feb دون اسم؟</x:v>
      </x:c>
      <x:c r="D14" s="70" t="str">
        <x:v>قيمة مجهولة في صف بلا اسم؛ لا تربط بموديل.</x:v>
      </x:c>
      <x:c r="E14" s="70" t="str">
        <x:v>تحديد من المصدر الأصلي أو تجاهل الصف مع توثيق الملاحظة إلى أن يحسم.</x:v>
      </x:c>
      <x:c r="F14" s="70" t="str">
        <x:v>عالٍ</x:v>
      </x:c>
      <x:c r="G14" s="70" t="str">
        <x:v>معلّق</x:v>
      </x:c>
      <x:c r="H14" s="70" t="str">
        <x:v>احتمال بيانات تصنيع أو طاقة إنتاجية غير صحيحة.</x:v>
      </x:c>
      <x:c r="I14" s="70" t="str">
        <x:v>وقت التشغيل.xlsx صف 45</x:v>
      </x:c>
    </x:row>
    <x:row r="15" ht="78" customHeight="1">
      <x:c r="A15" s="70" t="str">
        <x:v>MFG-06</x:v>
      </x:c>
      <x:c r="B15" s="70" t="str">
        <x:v>إصدارات BOM/Routing</x:v>
      </x:c>
      <x:c r="C15" s="70" t="str">
        <x:v>ما حالات lifecycle المعتمدة (Draft/Review/Approved/Effective/Retired) وتواريخ السريان؟</x:v>
      </x:c>
      <x:c r="D15" s="70" t="str">
        <x:v>المسودة تقترح versioning/ECN وحفظ التاريخ؛ تفاصيل الاعتماد والسريان لم تعتمد.</x:v>
      </x:c>
      <x:c r="E15" s="70" t="str">
        <x:v>اعتماد دورة lifecycle وسلطات الاعتماد قبل schema/design freeze.</x:v>
      </x:c>
      <x:c r="F15" s="70" t="str">
        <x:v>عالٍ</x:v>
      </x:c>
      <x:c r="G15" s="70" t="str">
        <x:v>معلّق</x:v>
      </x:c>
      <x:c r="H15" s="70" t="str">
        <x:v>احتمال بيانات تصنيع أو طاقة إنتاجية غير صحيحة.</x:v>
      </x:c>
      <x:c r="I15" s="70" t="str">
        <x:v>مسودة المتطلبات DRAFT v1.0</x:v>
      </x:c>
    </x:row>
    <x:row r="16" ht="78" customHeight="1">
      <x:c r="A16" s="70" t="str">
        <x:v>MFG-07</x:v>
      </x:c>
      <x:c r="B16" s="70" t="str">
        <x:v>Product types</x:v>
      </x:c>
      <x:c r="C16" s="70" t="str">
        <x:v>اعتماد القيم النهائية لـConstruction Type وManufacturing System؟</x:v>
      </x:c>
      <x:c r="D16" s="70" t="str">
        <x:v>قائمة Spring/Bonnell/Pocket/Latex/Memory/Pillow Top/Rebound/Hybrid وغيرها ذكرت كمرشحات.</x:v>
      </x:c>
      <x:c r="E16" s="70" t="str">
        <x:v>مطابقة مع كتالوجات ومصادر الموديلات واعتماد القيم؛ عدم seed تخميني.</x:v>
      </x:c>
      <x:c r="F16" s="70" t="str">
        <x:v>متوسط</x:v>
      </x:c>
      <x:c r="G16" s="70" t="str">
        <x:v>معلّق</x:v>
      </x:c>
      <x:c r="H16" s="70" t="str">
        <x:v>احتمال بيانات تصنيع أو طاقة إنتاجية غير صحيحة.</x:v>
      </x:c>
      <x:c r="I16" s="70" t="str">
        <x:v>ملفات المصدر + مسودة المتطلبات</x:v>
      </x:c>
    </x:row>
    <x:row r="17" ht="78" customHeight="1">
      <x:c r="A17" s="70" t="str">
        <x:v>LBL-01</x:v>
      </x:c>
      <x:c r="B17" s="70" t="str">
        <x:v>التصميم</x:v>
      </x:c>
      <x:c r="C17" s="70" t="str">
        <x:v>أي تصميم ملصق ونصوص/أصول يوافق عليها المالك؟</x:v>
      </x:c>
      <x:c r="D17" s="70" t="str">
        <x:v>التصميم السابق موجود لكنه غير معتمد؛ الحقول والمقاسات تحتاج اعتماد.</x:v>
      </x:c>
      <x:c r="E17" s="70" t="str">
        <x:v>عرض نماذج مرئية وقرار مكتوب قبل الطباعة الفعلية.</x:v>
      </x:c>
      <x:c r="F17" s="70" t="str">
        <x:v>عالٍ</x:v>
      </x:c>
      <x:c r="G17" s="70" t="str">
        <x:v>معلّق</x:v>
      </x:c>
      <x:c r="H17" s="70" t="str">
        <x:v>لا يمكن اعتماد الطباعة أو إثبات الجودة الفعلية.</x:v>
      </x:c>
      <x:c r="I17" s="70" t="str">
        <x:v>شرح المالك</x:v>
      </x:c>
    </x:row>
    <x:row r="18" ht="78" customHeight="1">
      <x:c r="A18" s="70" t="str">
        <x:v>LBL-02</x:v>
      </x:c>
      <x:c r="B18" s="70" t="str">
        <x:v>أحجام الملصق</x:v>
      </x:c>
      <x:c r="C18" s="70" t="str">
        <x:v>هل يعتمد 100×80 مم بالإضافة إلى المقاسات الأصلية 100×50 و100×100؟</x:v>
      </x:c>
      <x:c r="D18" s="70" t="str">
        <x:v>100×50 و100×100 في SSoT؛ ملحق v1.2 يطلب 100×80 ومقاسات قابلة للضبط.</x:v>
      </x:c>
      <x:c r="E18" s="70" t="str">
        <x:v>تثبيت الامتداد في Amendment بعد الموافقة.</x:v>
      </x:c>
      <x:c r="F18" s="70" t="str">
        <x:v>متوسط</x:v>
      </x:c>
      <x:c r="G18" s="70" t="str">
        <x:v>معلّق</x:v>
      </x:c>
      <x:c r="H18" s="70" t="str">
        <x:v>لا يمكن اعتماد الطباعة أو إثبات الجودة الفعلية.</x:v>
      </x:c>
      <x:c r="I18" s="70" t="str">
        <x:v>SSoT + ملحق المراجعة v1.2</x:v>
      </x:c>
    </x:row>
    <x:row r="19" ht="78" customHeight="1">
      <x:c r="A19" s="70" t="str">
        <x:v>PRT-01</x:v>
      </x:c>
      <x:c r="B19" s="70" t="str">
        <x:v>الطباعة</x:v>
      </x:c>
      <x:c r="C19" s="70" t="str">
        <x:v>هل Zebra ZD220 هي الطابعة الوحيدة؟ وما العدد/الاتصال الفعلي؟</x:v>
      </x:c>
      <x:c r="D19" s="70" t="str">
        <x:v>المعروف Zebra ZD220 عبر USB؛ لم تُسجل طابعات أخرى ولم يجر اختبار مادي.</x:v>
      </x:c>
      <x:c r="E19" s="70" t="str">
        <x:v>توثيق الأصول وعددها واتصالها؛ ثم اختبار Browser Print مادي.</x:v>
      </x:c>
      <x:c r="F19" s="70" t="str">
        <x:v>عالٍ</x:v>
      </x:c>
      <x:c r="G19" s="70" t="str">
        <x:v>معلّق</x:v>
      </x:c>
      <x:c r="H19" s="70" t="str">
        <x:v>لا يمكن اعتماد الطباعة أو إثبات الجودة الفعلية.</x:v>
      </x:c>
      <x:c r="I19" s="70" t="str">
        <x:v>ملحق المراجعة v1.2</x:v>
      </x:c>
    </x:row>
    <x:row r="20" ht="78" customHeight="1">
      <x:c r="A20" s="70" t="str">
        <x:v>CS-01</x:v>
      </x:c>
      <x:c r="B20" s="70" t="str">
        <x:v>دورة خدمة العملاء</x:v>
      </x:c>
      <x:c r="C20" s="70" t="str">
        <x:v>هل تعتمد الحالات الموسعة المقترحة أم يبقى workflow الأصلي؟</x:v>
      </x:c>
      <x:c r="D20" s="70" t="str">
        <x:v>SSoT: Open→Assigned→In Progress→Resolved→Closed. المسار الموسع في النقاش مقترح وغير معتمد.</x:v>
      </x:c>
      <x:c r="E20" s="70" t="str">
        <x:v>اعتماد الحالات والانتقالات ومتطلبات الإغلاق والصلاحيات.</x:v>
      </x:c>
      <x:c r="F20" s="70" t="str">
        <x:v>عالٍ</x:v>
      </x:c>
      <x:c r="G20" s="70" t="str">
        <x:v>معلّق</x:v>
      </x:c>
      <x:c r="H20" s="70" t="str">
        <x:v>خطر تغيير غير معتمد في خدمة العملاء/الضمان/نصوص منشورة.</x:v>
      </x:c>
      <x:c r="I20" s="70" t="str">
        <x:v>SSoT + مسودة المتطلبات</x:v>
      </x:c>
    </x:row>
    <x:row r="21" ht="78" customHeight="1">
      <x:c r="A21" s="70" t="str">
        <x:v>CS-02</x:v>
      </x:c>
      <x:c r="B21" s="70" t="str">
        <x:v>التعويض</x:v>
      </x:c>
      <x:c r="C21" s="70" t="str">
        <x:v>ما سياسة التعويض المعتمدة لكل علامة وحالات الموافقة؟</x:v>
      </x:c>
      <x:c r="D21" s="70" t="str">
        <x:v>ورد تصور تشغيلي للتعويض لكن لا سياسة كاملة قانونيًا/تجاريًا معتمدة.</x:v>
      </x:c>
      <x:c r="E21" s="70" t="str">
        <x:v>إرفاق policy معتمدة/مراجعة قانونية؛ لا إنشاء وظيفة محاسبة.</x:v>
      </x:c>
      <x:c r="F21" s="70" t="str">
        <x:v>عالٍ</x:v>
      </x:c>
      <x:c r="G21" s="70" t="str">
        <x:v>معلّق</x:v>
      </x:c>
      <x:c r="H21" s="70" t="str">
        <x:v>خطر تغيير غير معتمد في خدمة العملاء/الضمان/نصوص منشورة.</x:v>
      </x:c>
      <x:c r="I21" s="70" t="str">
        <x:v>ملحق المراجعة v1.2</x:v>
      </x:c>
    </x:row>
    <x:row r="22" ht="78" customHeight="1">
      <x:c r="A22" s="70" t="str">
        <x:v>CS-03</x:v>
      </x:c>
      <x:c r="B22" s="70" t="str">
        <x:v>SH care text</x:v>
      </x:c>
      <x:c r="C22" s="70" t="str">
        <x:v>هل تدوير المرتبة شهريًا أم كل ثلاثة أشهر؟</x:v>
      </x:c>
      <x:c r="D22" s="70" t="str">
        <x:v>مستند SH يذكر الاثنين في موضعين.</x:v>
      </x:c>
      <x:c r="E22" s="70" t="str">
        <x:v>اعتماد نص واحد قبل النشر.</x:v>
      </x:c>
      <x:c r="F22" s="70" t="str">
        <x:v>عالٍ</x:v>
      </x:c>
      <x:c r="G22" s="70" t="str">
        <x:v>معلّق</x:v>
      </x:c>
      <x:c r="H22" s="70" t="str">
        <x:v>خطر تغيير غير معتمد في خدمة العملاء/الضمان/نصوص منشورة.</x:v>
      </x:c>
      <x:c r="I22" s="70" t="str">
        <x:v>شروط ضمان - منتجات سليب هاي.docx</x:v>
      </x:c>
    </x:row>
    <x:row r="23" ht="78" customHeight="1">
      <x:c r="A23" s="70" t="str">
        <x:v>CS-04</x:v>
      </x:c>
      <x:c r="B23" s="70" t="str">
        <x:v>مدد ضمان مفصلة</x:v>
      </x:c>
      <x:c r="C23" s="70" t="str">
        <x:v>هل توجد استثناءات حالية على مستوى الموديل غير المدد العامة المسجلة؟</x:v>
      </x:c>
      <x:c r="D23" s="70" t="str">
        <x:v>المدد الحالية: المراتب 10 سنوات؛ المخدات والخداديات ومراتب التطرية سنتان. المستقبل فقط أمثلة 5/10 لموديلات معينة.</x:v>
      </x:c>
      <x:c r="E23" s="70" t="str">
        <x:v>توفير جدول معتمد فقط إذا وجدت استثناءات حقيقية؛ لا تستنتج من اسم البراند.</x:v>
      </x:c>
      <x:c r="F23" s="70" t="str">
        <x:v>عالٍ</x:v>
      </x:c>
      <x:c r="G23" s="70" t="str">
        <x:v>معلّق</x:v>
      </x:c>
      <x:c r="H23" s="70" t="str">
        <x:v>خطر تغيير غير معتمد في خدمة العملاء/الضمان/نصوص منشورة.</x:v>
      </x:c>
      <x:c r="I23" s="70" t="str">
        <x:v>SSoT + شرح المالك</x:v>
      </x:c>
    </x:row>
    <x:row r="24" ht="78" customHeight="1">
      <x:c r="A24" s="70" t="str">
        <x:v>CS-05</x:v>
      </x:c>
      <x:c r="B24" s="70" t="str">
        <x:v>QR customer assistance</x:v>
      </x:c>
      <x:c r="C24" s="70" t="str">
        <x:v>هل يُسمح برفع فاتورة/صورة/طلب خدمة من صفحات QR العامة وتحت أي ضوابط؟</x:v>
      </x:c>
      <x:c r="D24" s="70" t="str">
        <x:v>أفكار مسترجعة وليست بوابة عميل معتمدة؛ البيانات الشخصية يجب حمايتها.</x:v>
      </x:c>
      <x:c r="E24" s="70" t="str">
        <x:v>تعريف المصادقة والحقول العامة وسياسة التخزين والاحتفاظ.</x:v>
      </x:c>
      <x:c r="F24" s="70" t="str">
        <x:v>متوسط</x:v>
      </x:c>
      <x:c r="G24" s="70" t="str">
        <x:v>معلّق</x:v>
      </x:c>
      <x:c r="H24" s="70" t="str">
        <x:v>خطر تغيير غير معتمد في خدمة العملاء/الضمان/نصوص منشورة.</x:v>
      </x:c>
      <x:c r="I24" s="70" t="str">
        <x:v>محادثة قديمة + سياسة الخصوصية</x:v>
      </x:c>
    </x:row>
    <x:row r="25" ht="78" customHeight="1">
      <x:c r="A25" s="70" t="str">
        <x:v>NTF-01</x:v>
      </x:c>
      <x:c r="B25" s="70" t="str">
        <x:v>مزود الإشعارات</x:v>
      </x:c>
      <x:c r="C25" s="70" t="str">
        <x:v>ما مزود Email وWhatsApp والإعداد الآمن؟</x:v>
      </x:c>
      <x:c r="D25" s="70" t="str">
        <x:v>غير محدد في الملفات الحالية.</x:v>
      </x:c>
      <x:c r="E25" s="70" t="str">
        <x:v>قرار مزود/حساب خدمة وإدارة secrets بشكل آمن.</x:v>
      </x:c>
      <x:c r="F25" s="70" t="str">
        <x:v>متوسط</x:v>
      </x:c>
      <x:c r="G25" s="70" t="str">
        <x:v>معلّق</x:v>
      </x:c>
      <x:c r="H25" s="70" t="str">
        <x:v>نطاق أو اختبار أو قرار اعتماد غير محسوم.</x:v>
      </x:c>
      <x:c r="I25" s="70" t="str">
        <x:v>ملحق المراجعة v1.2</x:v>
      </x:c>
    </x:row>
    <x:row r="26" ht="78" customHeight="1">
      <x:c r="A26" s="70" t="str">
        <x:v>POL-01</x:v>
      </x:c>
      <x:c r="B26" s="70" t="str">
        <x:v>صياغة الليبل والضمان</x:v>
      </x:c>
      <x:c r="C26" s="70" t="str">
        <x:v>ما النص القانوني/التجاري المعتمد لكل علامة؟</x:v>
      </x:c>
      <x:c r="D26" s="70" t="str">
        <x:v>نص SH خاص بمنتجاته وفيه تعارض؛ لا يعمم على العلامات الأخرى.</x:v>
      </x:c>
      <x:c r="E26" s="70" t="str">
        <x:v>نصوص معتمدة من الشركة ومراجعة قانونية عند اللزوم.</x:v>
      </x:c>
      <x:c r="F26" s="70" t="str">
        <x:v>عالٍ</x:v>
      </x:c>
      <x:c r="G26" s="70" t="str">
        <x:v>معلّق</x:v>
      </x:c>
      <x:c r="H26" s="70" t="str">
        <x:v>خطر تغيير غير معتمد في خدمة العملاء/الضمان/نصوص منشورة.</x:v>
      </x:c>
      <x:c r="I26" s="70" t="str">
        <x:v>ملحق المراجعة v1.2 + شروط SH</x:v>
      </x:c>
    </x:row>
    <x:row r="27" ht="78" customHeight="1">
      <x:c r="A27" s="70" t="str">
        <x:v>TIME-01</x:v>
      </x:c>
      <x:c r="B27" s="70" t="str">
        <x:v>زمن معياري/فعلي</x:v>
      </x:c>
      <x:c r="C27" s="70" t="str">
        <x:v>ما تعريف المؤشرات والتفريق بين standard/actual/throughput؟</x:v>
      </x:c>
      <x:c r="D27" s="70" t="str">
        <x:v>ملحق المراجعة يطلب الفصل بينها؛ البيانات الحالية تقديرية وغير موزعة موثقًا.</x:v>
      </x:c>
      <x:c r="E27" s="70" t="str">
        <x:v>تعريفات KPI ومصادر قياس قبل نشر حسابات الطاقة.</x:v>
      </x:c>
      <x:c r="F27" s="70" t="str">
        <x:v>عالٍ</x:v>
      </x:c>
      <x:c r="G27" s="70" t="str">
        <x:v>معلّق</x:v>
      </x:c>
      <x:c r="H27" s="70" t="str">
        <x:v>نطاق أو اختبار أو قرار اعتماد غير محسوم.</x:v>
      </x:c>
      <x:c r="I27" s="70" t="str">
        <x:v>ملحق المراجعة v1.2</x:v>
      </x:c>
    </x:row>
    <x:row r="28" ht="78" customHeight="1">
      <x:c r="A28" s="70" t="str">
        <x:v>TEST-01</x:v>
      </x:c>
      <x:c r="B28" s="70" t="str">
        <x:v>اختبارات الاعتماد</x:v>
      </x:c>
      <x:c r="C28" s="70" t="str">
        <x:v>من يعتمد شروط قبول كل مركز والاختبارات الفعلية؟</x:v>
      </x:c>
      <x:c r="D28" s="70" t="str">
        <x:v>الخطة تقترح build/lint/RLS/RPC/storage/privacy/printer/factory tests.</x:v>
      </x:c>
      <x:c r="E28" s="70" t="str">
        <x:v>اعتماد قائمة قبول/مسؤول التوقيع لكل بوابة.</x:v>
      </x:c>
      <x:c r="F28" s="70" t="str">
        <x:v>متوسط</x:v>
      </x:c>
      <x:c r="G28" s="70" t="str">
        <x:v>معلّق</x:v>
      </x:c>
      <x:c r="H28" s="70" t="str">
        <x:v>نطاق أو اختبار أو قرار اعتماد غير محسوم.</x:v>
      </x:c>
      <x:c r="I28" s="70" t="str">
        <x:v>بوابات التنفيذ المقترحة</x:v>
      </x:c>
    </x:row>
    <x:row r="29" ht="78" customHeight="1">
      <x:c r="A29" s="70" t="str">
        <x:v>BACKUP-01</x:v>
      </x:c>
      <x:c r="B29" s="70" t="str">
        <x:v>النسخ الاحتياطية</x:v>
      </x:c>
      <x:c r="C29" s="70" t="str">
        <x:v>ما موقع/سياسة حفظ ZIP والوثائق وSupabase backup؟</x:v>
      </x:c>
      <x:c r="D29" s="70" t="str">
        <x:v>المحادثة تقترح GitHub branch/release، ZIP، pg_dump/backup، والوثائق.</x:v>
      </x:c>
      <x:c r="E29" s="70" t="str">
        <x:v>اختيار مجلد/مستودع معتمد وسياسة naming/retention؛ لا أسرار في ZIP.</x:v>
      </x:c>
      <x:c r="F29" s="70" t="str">
        <x:v>متوسط</x:v>
      </x:c>
      <x:c r="G29" s="70" t="str">
        <x:v>مقترح</x:v>
      </x:c>
      <x:c r="H29" s="70" t="str">
        <x:v>نطاق أو اختبار أو قرار اعتماد غير محسوم.</x:v>
      </x:c>
      <x:c r="I29" s="70" t="str">
        <x:v>محادثة قديمة</x:v>
      </x:c>
    </x:row>
    <x:row r="30" ht="78" customHeight="1">
      <x:c r="A30" s="70" t="str">
        <x:v>ANL-01</x:v>
      </x:c>
      <x:c r="B30" s="70" t="str">
        <x:v>Datasets/API</x:v>
      </x:c>
      <x:c r="C30" s="70" t="str">
        <x:v>هل المطلوب API فعلي في الإصدار الأول أم export files فقط؟</x:v>
      </x:c>
      <x:c r="D30" s="70" t="str">
        <x:v>CSV/XLSX/JSON/PDF مسجل؛ API/data sets جاء كاقتراح توسعة.</x:v>
      </x:c>
      <x:c r="E30" s="70" t="str">
        <x:v>تحديد نطاق API/REST منفصلًا مع auth/rate limits/owner.</x:v>
      </x:c>
      <x:c r="F30" s="70" t="str">
        <x:v>متوسط</x:v>
      </x:c>
      <x:c r="G30" s="70" t="str">
        <x:v>معلّق</x:v>
      </x:c>
      <x:c r="H30" s="70" t="str">
        <x:v>نطاق أو اختبار أو قرار اعتماد غير محسوم.</x:v>
      </x:c>
      <x:c r="I30" s="70" t="str">
        <x:v>محادثة قديمة + ملحق المراجعة</x:v>
      </x:c>
    </x:row>
    <x:row r="31" ht="78" customHeight="1">
      <x:c r="A31" s="70" t="str">
        <x:v>DQC-01</x:v>
      </x:c>
      <x:c r="B31" s="70" t="str">
        <x:v>Data Quality Center</x:v>
      </x:c>
      <x:c r="C31" s="70" t="str">
        <x:v>هل Data Quality Center مركز فرعي ضمن الإدارة/التقارير؟</x:v>
      </x:c>
      <x:c r="D31" s="70" t="str">
        <x:v>فكرة مسترجعة، وهي لا تغير الهيكل الرئيسي تلقائيًا.</x:v>
      </x:c>
      <x:c r="E31" s="70" t="str">
        <x:v>تثبيت موضعه ومعايير تنبيه/عرض قبل التنفيذ.</x:v>
      </x:c>
      <x:c r="F31" s="70" t="str">
        <x:v>متوسط</x:v>
      </x:c>
      <x:c r="G31" s="70" t="str">
        <x:v>مقترح</x:v>
      </x:c>
      <x:c r="H31" s="70" t="str">
        <x:v>نطاق أو اختبار أو قرار اعتماد غير محسوم.</x:v>
      </x:c>
      <x:c r="I31" s="70" t="str">
        <x:v>محادثة قديمة</x:v>
      </x:c>
    </x:row>
    <x:row r="32" ht="78" customHeight="1">
      <x:c r="A32" s="78" t="str">
        <x:v>ENV-04</x:v>
      </x:c>
      <x:c r="B32" s="78" t="str">
        <x:v>وثائق النشر</x:v>
      </x:c>
      <x:c r="C32" s="78" t="str">
        <x:v>كيف تُحسم وثائق النشر التي تطلب schema.sql غير موجود في جذر ZIP؟</x:v>
      </x:c>
      <x:c r="D32" s="78" t="str">
        <x:v>DEPLOYMENT_CHECKLIST يطلب schema.sql؛ ZIP 10–18 لا يحتويه في الجذر؛ وثيقة أخرى تمنع تشغيل legacy schema.</x:v>
      </x:c>
      <x:c r="E32" s="78" t="str">
        <x:v>توحيد وثائق النشر مع baseline المختار والمخطط الحي؛ لا تشغيل SQL قبل ذلك.</x:v>
      </x:c>
      <x:c r="F32" s="78" t="str">
        <x:v>حرج</x:v>
      </x:c>
      <x:c r="G32" s="78" t="str">
        <x:v>معلّق</x:v>
      </x:c>
      <x:c r="H32" s="78" t="str">
        <x:v>قد يؤدي إلى تشغيل schema قديم/غير موجود أو إعداد قاعدة غير متطابق.</x:v>
      </x:c>
      <x:c r="I32" s="78" t="str">
        <x:v>تقرير التدقيق 2026-10-10</x:v>
      </x:c>
    </x:row>
    <x:row r="33" ht="78" customHeight="1">
      <x:c r="A33" s="78" t="str">
        <x:v>ENV-05</x:v>
      </x:c>
      <x:c r="B33" s="78" t="str">
        <x:v>التبعيات</x:v>
      </x:c>
      <x:c r="C33" s="78" t="str">
        <x:v>هل @google/genai وExpress ومتغير GEMINI_API_KEY مستخدمة فعلًا؟</x:v>
      </x:c>
      <x:c r="D33" s="78" t="str">
        <x:v>فحص المصدر السابق لم يجد imports ظاهرة لها، لكن هذا وحده لا يثبت عدم الاستخدام runtime.</x:v>
      </x:c>
      <x:c r="E33" s="78" t="str">
        <x:v>فحص imports/scripts/runtime ثم cleanup معتمد فقط.</x:v>
      </x:c>
      <x:c r="F33" s="78" t="str">
        <x:v>متوسط</x:v>
      </x:c>
      <x:c r="G33" s="78" t="str">
        <x:v>معلّق</x:v>
      </x:c>
      <x:c r="H33" s="78" t="str">
        <x:v>إبقاء بقايا تقنية غير لازمة أو حذف شيء مستخدم دون تحقق.</x:v>
      </x:c>
      <x:c r="I33" s="78" t="str">
        <x:v>تقرير التدقيق 2026-10-10</x:v>
      </x:c>
    </x:row>
    <x:row r="34" ht="78" customHeight="1">
      <x:c r="A34" s="78" t="str">
        <x:v>ENV-06</x:v>
      </x:c>
      <x:c r="B34" s="78" t="str">
        <x:v>نطاق المرحلة</x:v>
      </x:c>
      <x:c r="C34" s="78" t="str">
        <x:v>هل Phase 19 مطلوب في الخطوة القادمة؟</x:v>
      </x:c>
      <x:c r="D34" s="78" t="str">
        <x:v>حزمة التنفيذ المتاحة تحمل Phase 10–18 ولا تحتوي Artifact واضحًا لـPhase 19.</x:v>
      </x:c>
      <x:c r="E34" s="78" t="str">
        <x:v>تحديد النطاق دون إعادة تسمية الحزمة على أنها 10–19.</x:v>
      </x:c>
      <x:c r="F34" s="78" t="str">
        <x:v>متوسط</x:v>
      </x:c>
      <x:c r="G34" s="78" t="str">
        <x:v>معلّق</x:v>
      </x:c>
      <x:c r="H34" s="78" t="str">
        <x:v>فجوة في تخطيط نطاق الإصدار.</x:v>
      </x:c>
      <x:c r="I34" s="78" t="str">
        <x:v>تقرير التدقيق 2026-10-10</x:v>
      </x:c>
    </x:row>
    <x:row r="35" ht="78" customHeight="1">
      <x:c r="A35" s="78" t="str">
        <x:v>UI-08</x:v>
      </x:c>
      <x:c r="B35" s="78" t="str">
        <x:v>صفحة التحقق العامة</x:v>
      </x:c>
      <x:c r="C35" s="78" t="str">
        <x:v>هل تم تصحيح تسمية حقل invoice_no مقابل warranty_start؟</x:v>
      </x:c>
      <x:c r="D35" s="78" t="str">
        <x:v>فحص Static سابق أشار إلى عرض تاريخ الفاتورة تحت label رقم الفاتورة.</x:v>
      </x:c>
      <x:c r="E35" s="78" t="str">
        <x:v>تحقق من الحقل والتسمية في baseline المختار ثم إصلاح محدود واختبار.</x:v>
      </x:c>
      <x:c r="F35" s="78" t="str">
        <x:v>متوسط</x:v>
      </x:c>
      <x:c r="G35" s="78" t="str">
        <x:v>معلّق</x:v>
      </x:c>
      <x:c r="H35" s="78" t="str">
        <x:v>عرض معلومة صحيحة تحت اسم حقل خاطئ.</x:v>
      </x:c>
      <x:c r="I35" s="78" t="str">
        <x:v>تقرير التدقيق 2026-10-10</x:v>
      </x:c>
    </x:row>
    <x:row r="36" ht="78" customHeight="1">
      <x:c r="A36" s="78" t="str">
        <x:v>DATA-01</x:v>
      </x:c>
      <x:c r="B36" s="78" t="str">
        <x:v>الاسم القانوني ومصدر الطبقات</x:v>
      </x:c>
      <x:c r="C36" s="78" t="str">
        <x:v>كيف يعالج اختلاف «السست» في ملف فني عن «السوست» في الاسم القانوني؟</x:v>
      </x:c>
      <x:c r="D36" s="78" t="str">
        <x:v>SSoT تثبت الاسم القانوني «السوست»؛ ملف فني فيه spelling مختلف.</x:v>
      </x:c>
      <x:c r="E36" s="78" t="str">
        <x:v>عدم تغيير الاسم القانوني؛ قرار بشأن spelling المصدر قبل master-data import.</x:v>
      </x:c>
      <x:c r="F36" s="78" t="str">
        <x:v>متوسط</x:v>
      </x:c>
      <x:c r="G36" s="78" t="str">
        <x:v>معلّق</x:v>
      </x:c>
      <x:c r="H36" s="78" t="str">
        <x:v>تكرار/انحراف في بيانات الاسم المنشورة أو المستوردة.</x:v>
      </x:c>
      <x:c r="I36" s="78" t="str">
        <x:v>SSoT + ملحق المراجعة v1.2</x:v>
      </x:c>
    </x:row>
  </x:sheetData>
  <x:mergeCells>
    <x:mergeCell ref="A1:I1"/>
    <x:mergeCell ref="A2:I2"/>
  </x:mergeCells>
  <x:conditionalFormatting sqref="F5:F31">
    <x:cfRule type="expression" dxfId="2" priority="1">
      <x:formula>F5="حرج"</x:formula>
    </x:cfRule>
  </x:conditionalFormatting>
  <x:dataValidations count="4">
    <x:dataValidation type="list" sqref="F5:F31">
      <x:formula1>"حرج,عالٍ,متوسط,منخفض"</x:formula1>
    </x:dataValidation>
    <x:dataValidation type="list" sqref="G5:G31">
      <x:formula1>"معلّق,قيد المراجعة,تم الحسم,اقتراح,محجوب"</x:formula1>
    </x:dataValidation>
    <x:dataValidation type="list" sqref="F5:F36">
      <x:formula1>"حرج,عالٍ,متوسط,منخفض"</x:formula1>
    </x:dataValidation>
    <x:dataValidation type="list" sqref="G5:G36">
      <x:formula1>"معلّق,قيد المراجعة,تم الحسم,اقتراح,محجوب"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da357fdf8e497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51" hidden="0" customWidth="1"/>
    <x:col min="4" max="4" width="55" hidden="0" customWidth="1"/>
    <x:col min="5" max="5" width="12" hidden="0" customWidth="1"/>
    <x:col min="6" max="6" width="23" hidden="0" customWidth="1"/>
    <x:col min="7" max="7" width="18" hidden="0" customWidth="1"/>
  </x:cols>
  <x:sheetData>
    <x:row r="1" ht="32" customHeight="1">
      <x:c r="A1" s="6" t="str">
        <x:v>خطة الاختبارات وبوابات القبول</x:v>
      </x:c>
      <x:c r="B1" s="6"/>
      <x:c r="C1" s="6"/>
      <x:c r="D1" s="6"/>
      <x:c r="E1" s="6"/>
      <x:c r="F1" s="6"/>
      <x:c r="G1" s="6"/>
    </x:row>
    <x:row r="2" ht="34" customHeight="1">
      <x:c r="A2" s="16" t="str">
        <x:v>خطة مقترحة؛ لم تنفذ الاختبارات الواردة هنا إلا إذا وُجد دليل مستقل. الحالة الافتراضية «لم ينفذ».</x:v>
      </x:c>
      <x:c r="B2" s="16"/>
      <x:c r="C2" s="16"/>
      <x:c r="D2" s="16"/>
      <x:c r="E2" s="16"/>
      <x:c r="F2" s="16"/>
      <x:c r="G2" s="16"/>
    </x:row>
    <x:row r="4" ht="34" customHeight="1">
      <x:c r="A4" s="63" t="str">
        <x:v>معرّف الاختبار</x:v>
      </x:c>
      <x:c r="B4" s="63" t="str">
        <x:v>المجال</x:v>
      </x:c>
      <x:c r="C4" s="63" t="str">
        <x:v>الاختبار</x:v>
      </x:c>
      <x:c r="D4" s="63" t="str">
        <x:v>دليل النجاح المطلوب</x:v>
      </x:c>
      <x:c r="E4" s="63" t="str">
        <x:v>الأولوية</x:v>
      </x:c>
      <x:c r="F4" s="63" t="str">
        <x:v>الحالة</x:v>
      </x:c>
      <x:c r="G4" s="63" t="str">
        <x:v>يحجب الإصدار؟</x:v>
      </x:c>
    </x:row>
    <x:row r="5" ht="72" customHeight="1">
      <x:c r="A5" s="70" t="str">
        <x:v>T-00</x:v>
      </x:c>
      <x:c r="B5" s="70" t="str">
        <x:v>خط الأساس</x:v>
      </x:c>
      <x:c r="C5" s="70" t="str">
        <x:v>تحديد مستودع GitHub الصحيح والفرع المرجعي قبل المقارنة.</x:v>
      </x:c>
      <x:c r="D5" s="70" t="str">
        <x:v>تأكيد رسمي للمستودع ثم جرد branch/commit/working tree؛ قراءة فقط.</x:v>
      </x:c>
      <x:c r="E5" s="70" t="str">
        <x:v>حرج</x:v>
      </x:c>
      <x:c r="F5" s="70" t="str">
        <x:v>لم ينفذ</x:v>
      </x:c>
      <x:c r="G5" s="70" t="str">
        <x:v>لا</x:v>
      </x:c>
    </x:row>
    <x:row r="6" ht="72" customHeight="1">
      <x:c r="A6" s="70" t="str">
        <x:v>T-01</x:v>
      </x:c>
      <x:c r="B6" s="70" t="str">
        <x:v>Build</x:v>
      </x:c>
      <x:c r="C6" s="70" t="str">
        <x:v>Clean dependency install ثم lint/build على baseline المختار.</x:v>
      </x:c>
      <x:c r="D6" s="70" t="str">
        <x:v>نتائج commands الناجحة/الفاشلة كاملة مع versions/commit.</x:v>
      </x:c>
      <x:c r="E6" s="70" t="str">
        <x:v>حرج</x:v>
      </x:c>
      <x:c r="F6" s="70" t="str">
        <x:v>لم ينفذ</x:v>
      </x:c>
      <x:c r="G6" s="70" t="str">
        <x:v>لا</x:v>
      </x:c>
    </x:row>
    <x:row r="7" ht="72" customHeight="1">
      <x:c r="A7" s="70" t="str">
        <x:v>T-02</x:v>
      </x:c>
      <x:c r="B7" s="70" t="str">
        <x:v>الحوكمة التقنية</x:v>
      </x:c>
      <x:c r="C7" s="70" t="str">
        <x:v>مسح المصدر لمنع Firebase/Firestore والتخزين المحلي والبيانات الثابتة كمصدر تشغيلي.</x:v>
      </x:c>
      <x:c r="D7" s="70" t="str">
        <x:v>تقرير المصدر + paths والأدلة؛ أي مخالفة تُرفض.</x:v>
      </x:c>
      <x:c r="E7" s="70" t="str">
        <x:v>حرج</x:v>
      </x:c>
      <x:c r="F7" s="70" t="str">
        <x:v>لم ينفذ</x:v>
      </x:c>
      <x:c r="G7" s="70" t="str">
        <x:v>لا</x:v>
      </x:c>
    </x:row>
    <x:row r="8" ht="72" customHeight="1">
      <x:c r="A8" s="70" t="str">
        <x:v>T-03</x:v>
      </x:c>
      <x:c r="B8" s="70" t="str">
        <x:v>Supabase</x:v>
      </x:c>
      <x:c r="C8" s="70" t="str">
        <x:v>مقارنة المخطط الحي الحالي مع migrations/schema والنسخة الاحتياطية قبل أي تنفيذ.</x:v>
      </x:c>
      <x:c r="D8" s="70" t="str">
        <x:v>جرد قراءة فقط للجداول/الأعمدة/constraints/views/RPC/triggers/indexes.</x:v>
      </x:c>
      <x:c r="E8" s="70" t="str">
        <x:v>حرج</x:v>
      </x:c>
      <x:c r="F8" s="70" t="str">
        <x:v>لم ينفذ</x:v>
      </x:c>
      <x:c r="G8" s="70" t="str">
        <x:v>لا</x:v>
      </x:c>
    </x:row>
    <x:row r="9" ht="72" customHeight="1">
      <x:c r="A9" s="70" t="str">
        <x:v>T-04</x:v>
      </x:c>
      <x:c r="B9" s="70" t="str">
        <x:v>RLS/Auth</x:v>
      </x:c>
      <x:c r="C9" s="70" t="str">
        <x:v>اختبار صلاحيات كل دور بعد اعتماد Role Mapping.</x:v>
      </x:c>
      <x:c r="D9" s="70" t="str">
        <x:v>مصفوفة allow/deny على كل مركز وRPC وtable/storage.</x:v>
      </x:c>
      <x:c r="E9" s="70" t="str">
        <x:v>حرج</x:v>
      </x:c>
      <x:c r="F9" s="70" t="str">
        <x:v>محجوب بقرار الدور</x:v>
      </x:c>
      <x:c r="G9" s="70" t="str">
        <x:v>لا</x:v>
      </x:c>
    </x:row>
    <x:row r="10" ht="72" customHeight="1">
      <x:c r="A10" s="70" t="str">
        <x:v>T-05</x:v>
      </x:c>
      <x:c r="B10" s="70" t="str">
        <x:v>Phase 09</x:v>
      </x:c>
      <x:c r="C10" s="70" t="str">
        <x:v>تفعيل صحيح، منع التفعيل المكرر، مصدر تاريخ البداية، snapshot ثابت للمدة/الانتهاء.</x:v>
      </x:c>
      <x:c r="D10" s="70" t="str">
        <x:v>نتائج RPC وRLS ولقطة قبل/بعد تغيير سياسة لاحق.</x:v>
      </x:c>
      <x:c r="E10" s="70" t="str">
        <x:v>حرج</x:v>
      </x:c>
      <x:c r="F10" s="70" t="str">
        <x:v>لم ينفذ في هذه المراجعة</x:v>
      </x:c>
      <x:c r="G10" s="70" t="str">
        <x:v>لا</x:v>
      </x:c>
    </x:row>
    <x:row r="11" ht="72" customHeight="1">
      <x:c r="A11" s="70" t="str">
        <x:v>T-06</x:v>
      </x:c>
      <x:c r="B11" s="70" t="str">
        <x:v>Public Verify</x:v>
      </x:c>
      <x:c r="C11" s="70" t="str">
        <x:v>تحقق عام من المنتج دون إظهار اسم/هاتف/هوية/فاتورة/مرفقات شخصية.</x:v>
      </x:c>
      <x:c r="D11" s="70" t="str">
        <x:v>لقطات/response payload تؤكد الحد الأدنى العام ومنع PII.</x:v>
      </x:c>
      <x:c r="E11" s="70" t="str">
        <x:v>حرج</x:v>
      </x:c>
      <x:c r="F11" s="70" t="str">
        <x:v>لم ينفذ</x:v>
      </x:c>
      <x:c r="G11" s="70" t="str">
        <x:v>لا</x:v>
      </x:c>
    </x:row>
    <x:row r="12" ht="72" customHeight="1">
      <x:c r="A12" s="70" t="str">
        <x:v>T-07</x:v>
      </x:c>
      <x:c r="B12" s="70" t="str">
        <x:v>BOM</x:v>
      </x:c>
      <x:c r="C12" s="70" t="str">
        <x:v>مقارنة جميع الموديلات/المكونات/الأكواد/الكميات مع Models BOM وطبقات الهندسة.</x:v>
      </x:c>
      <x:c r="D12" s="70" t="str">
        <x:v>تقرير mapping وفروق واضح؛ لا auto-correct.</x:v>
      </x:c>
      <x:c r="E12" s="70" t="str">
        <x:v>عالٍ</x:v>
      </x:c>
      <x:c r="F12" s="70" t="str">
        <x:v>لم ينفذ</x:v>
      </x:c>
      <x:c r="G12" s="70" t="str">
        <x:v>لا</x:v>
      </x:c>
    </x:row>
    <x:row r="13" ht="72" customHeight="1">
      <x:c r="A13" s="70" t="str">
        <x:v>T-08</x:v>
      </x:c>
      <x:c r="B13" s="70" t="str">
        <x:v>BOM versioning</x:v>
      </x:c>
      <x:c r="C13" s="70" t="str">
        <x:v>إنشاء نسخة هندسية جديدة لا يغير أمرًا قديمًا مربوطًا بالنسخة السابقة.</x:v>
      </x:c>
      <x:c r="D13" s="70" t="str">
        <x:v>اختبار بيانات تاريخية قبل/بعد وإثبات version reference.</x:v>
      </x:c>
      <x:c r="E13" s="70" t="str">
        <x:v>عالٍ</x:v>
      </x:c>
      <x:c r="F13" s="70" t="str">
        <x:v>محجوب بتصميم lifecycle</x:v>
      </x:c>
      <x:c r="G13" s="70" t="str">
        <x:v>لا</x:v>
      </x:c>
    </x:row>
    <x:row r="14" ht="72" customHeight="1">
      <x:c r="A14" s="70" t="str">
        <x:v>T-09</x:v>
      </x:c>
      <x:c r="B14" s="70" t="str">
        <x:v>Routing</x:v>
      </x:c>
      <x:c r="C14" s="70" t="str">
        <x:v>تجربة مسار مخصص للموديل، بديل خط/ماكينة، تخطي عملية غير لازمة وتكرار/عودة من التيب عند الحاجة.</x:v>
      </x:c>
      <x:c r="D14" s="70" t="str">
        <x:v>اختبار routes مصدرية مع owner/factory signoff.</x:v>
      </x:c>
      <x:c r="E14" s="70" t="str">
        <x:v>عالٍ</x:v>
      </x:c>
      <x:c r="F14" s="70" t="str">
        <x:v>محجوب ببيانات routing التفصيلية</x:v>
      </x:c>
      <x:c r="G14" s="70" t="str">
        <x:v>لا</x:v>
      </x:c>
    </x:row>
    <x:row r="15" ht="72" customHeight="1">
      <x:c r="A15" s="70" t="str">
        <x:v>T-10</x:v>
      </x:c>
      <x:c r="B15" s="70" t="str">
        <x:v>وقت التشغيل</x:v>
      </x:c>
      <x:c r="C15" s="70" t="str">
        <x:v>مطابقة الورقة المنفصلة والمضمنة، وفحص صف 150 بلا اسم، وعدم حساب قدرة قبل تعريف وحدة الزمن.</x:v>
      </x:c>
      <x:c r="D15" s="70" t="str">
        <x:v>تقرير مقارنة وقائمة أصناف/أزمنة موثقة وصف مجهول منفصل.</x:v>
      </x:c>
      <x:c r="E15" s="70" t="str">
        <x:v>حرج</x:v>
      </x:c>
      <x:c r="F15" s="70" t="str">
        <x:v>مراجعة المصدر بدأت؛ التعريف غير محسوم</x:v>
      </x:c>
      <x:c r="G15" s="70" t="str">
        <x:v>لا</x:v>
      </x:c>
    </x:row>
    <x:row r="16" ht="72" customHeight="1">
      <x:c r="A16" s="70" t="str">
        <x:v>T-11</x:v>
      </x:c>
      <x:c r="B16" s="70" t="str">
        <x:v>أرقام الإنتاج</x:v>
      </x:c>
      <x:c r="C16" s="70" t="str">
        <x:v>تأكيد صيغ ORD/BAT/SLP والتفرد وعدم إعادة الاستخدام.</x:v>
      </x:c>
      <x:c r="D16" s="70" t="str">
        <x:v>اختبارات format/unique/concurrency/never-reset.</x:v>
      </x:c>
      <x:c r="E16" s="70" t="str">
        <x:v>حرج</x:v>
      </x:c>
      <x:c r="F16" s="70" t="str">
        <x:v>لم ينفذ</x:v>
      </x:c>
      <x:c r="G16" s="70" t="str">
        <x:v>لا</x:v>
      </x:c>
    </x:row>
    <x:row r="17" ht="72" customHeight="1">
      <x:c r="A17" s="70" t="str">
        <x:v>T-12</x:v>
      </x:c>
      <x:c r="B17" s="70" t="str">
        <x:v>Quick Production</x:v>
      </x:c>
      <x:c r="C17" s="70" t="str">
        <x:v>تجربة أمر من اختيار المنتج والمقاس والكمية حتى Print Job دون إدخال Serial/Batch يدويًا.</x:v>
      </x:c>
      <x:c r="D17" s="70" t="str">
        <x:v>تسجيل خطوات/نتائج؛ كل انتقال مُتحقق ومصرح.</x:v>
      </x:c>
      <x:c r="E17" s="70" t="str">
        <x:v>عالٍ</x:v>
      </x:c>
      <x:c r="F17" s="70" t="str">
        <x:v>محجوب بتصميم التفصيل</x:v>
      </x:c>
      <x:c r="G17" s="70" t="str">
        <x:v>لا</x:v>
      </x:c>
    </x:row>
    <x:row r="18" ht="72" customHeight="1">
      <x:c r="A18" s="70" t="str">
        <x:v>T-13</x:v>
      </x:c>
      <x:c r="B18" s="70" t="str">
        <x:v>Wizard/Auto progression</x:v>
      </x:c>
      <x:c r="C18" s="70" t="str">
        <x:v>الفشل أو نقص الموافقة يمنع الانتقال؛ التقدم يتم فقط بعد شروط المرحلة.</x:v>
      </x:c>
      <x:c r="D18" s="70" t="str">
        <x:v>اختبارات pass/fail/retry/back-navigation مع audit.</x:v>
      </x:c>
      <x:c r="E18" s="70" t="str">
        <x:v>عالٍ</x:v>
      </x:c>
      <x:c r="F18" s="70" t="str">
        <x:v>محجوب بتصميم التفصيل</x:v>
      </x:c>
      <x:c r="G18" s="70" t="str">
        <x:v>لا</x:v>
      </x:c>
    </x:row>
    <x:row r="19" ht="72" customHeight="1">
      <x:c r="A19" s="70" t="str">
        <x:v>T-14</x:v>
      </x:c>
      <x:c r="B19" s="70" t="str">
        <x:v>Label Designer</x:v>
      </x:c>
      <x:c r="C19" s="70" t="str">
        <x:v>قياس قوالب 100×50 و100×100؛ اختبار أي أبعاد معتمدة إضافية بعد amendment.</x:v>
      </x:c>
      <x:c r="D19" s="70" t="str">
        <x:v>تقرير القياس والقالب والموافقة.</x:v>
      </x:c>
      <x:c r="E19" s="70" t="str">
        <x:v>عالٍ</x:v>
      </x:c>
      <x:c r="F19" s="70" t="str">
        <x:v>ملصق جديد غير معتمد</x:v>
      </x:c>
      <x:c r="G19" s="70" t="str">
        <x:v>لا</x:v>
      </x:c>
    </x:row>
    <x:row r="20" ht="72" customHeight="1">
      <x:c r="A20" s="70" t="str">
        <x:v>T-15</x:v>
      </x:c>
      <x:c r="B20" s="70" t="str">
        <x:v>Data binding</x:v>
      </x:c>
      <x:c r="C20" s="70" t="str">
        <x:v>المعاينة تعرض بيانات حقيقية مرخصة من مصدرها ولا placeholders تشغيلية.</x:v>
      </x:c>
      <x:c r="D20" s="70" t="str">
        <x:v>اختبار Serial/Model/Size/Brand/Warranty/QR من قاعدة فعلية.</x:v>
      </x:c>
      <x:c r="E20" s="70" t="str">
        <x:v>عالٍ</x:v>
      </x:c>
      <x:c r="F20" s="70" t="str">
        <x:v>لم ينفذ</x:v>
      </x:c>
      <x:c r="G20" s="70" t="str">
        <x:v>لا</x:v>
      </x:c>
    </x:row>
    <x:row r="21" ht="72" customHeight="1">
      <x:c r="A21" s="70" t="str">
        <x:v>T-16</x:v>
      </x:c>
      <x:c r="B21" s="70" t="str">
        <x:v>Zebra physical print</x:v>
      </x:c>
      <x:c r="C21" s="70" t="str">
        <x:v>Browser Print discovery/USB/test print على Zebra ZD220 وقراءة Code128 وQR.</x:v>
      </x:c>
      <x:c r="D21" s="70" t="str">
        <x:v>تقرير جهاز/اتصال/نتيجة فعلية وصور/قراءة للمطبوع.</x:v>
      </x:c>
      <x:c r="E21" s="70" t="str">
        <x:v>حرج</x:v>
      </x:c>
      <x:c r="F21" s="70" t="str">
        <x:v>لم ينفذ</x:v>
      </x:c>
      <x:c r="G21" s="70" t="str">
        <x:v>لا</x:v>
      </x:c>
    </x:row>
    <x:row r="22" ht="72" customHeight="1">
      <x:c r="A22" s="70" t="str">
        <x:v>T-17</x:v>
      </x:c>
      <x:c r="B22" s="70" t="str">
        <x:v>Print history</x:v>
      </x:c>
      <x:c r="C22" s="70" t="str">
        <x:v>فشل الطباعة لا يسجل Printed؛ retry/reprint لا يمحو السجل السابق؛ error details محفوظة.</x:v>
      </x:c>
      <x:c r="D22" s="70" t="str">
        <x:v>اختبارات print response حقيقية وسجل تاريخي.</x:v>
      </x:c>
      <x:c r="E22" s="70" t="str">
        <x:v>حرج</x:v>
      </x:c>
      <x:c r="F22" s="70" t="str">
        <x:v>لم ينفذ</x:v>
      </x:c>
      <x:c r="G22" s="70" t="str">
        <x:v>لا</x:v>
      </x:c>
    </x:row>
    <x:row r="23" ht="72" customHeight="1">
      <x:c r="A23" s="70" t="str">
        <x:v>T-18</x:v>
      </x:c>
      <x:c r="B23" s="70" t="str">
        <x:v>Service workflow</x:v>
      </x:c>
      <x:c r="C23" s="70" t="str">
        <x:v>انتقالات الحالة والملكية والصلاحيات والمرفقات وسجل التدقيق.</x:v>
      </x:c>
      <x:c r="D23" s="70" t="str">
        <x:v>اختبارات transitions مع دور منفذ وسبب/تاريخ/ملاحظات.</x:v>
      </x:c>
      <x:c r="E23" s="70" t="str">
        <x:v>عالٍ</x:v>
      </x:c>
      <x:c r="F23" s="70" t="str">
        <x:v>محجوب باعتماد workflow الموسع</x:v>
      </x:c>
      <x:c r="G23" s="70" t="str">
        <x:v>لا</x:v>
      </x:c>
    </x:row>
    <x:row r="24" ht="72" customHeight="1">
      <x:c r="A24" s="70" t="str">
        <x:v>T-19</x:v>
      </x:c>
      <x:c r="B24" s="70" t="str">
        <x:v>Replacement/transfer</x:v>
      </x:c>
      <x:c r="C24" s="70" t="str">
        <x:v>Replacement يربط الرقم القديم بالجديد؛ transfer يحافظ على المنتج/serial والضمان النشط.</x:v>
      </x:c>
      <x:c r="D24" s="70" t="str">
        <x:v>اختبار قبل/بعد وتقرير genealogy.</x:v>
      </x:c>
      <x:c r="E24" s="70" t="str">
        <x:v>عالٍ</x:v>
      </x:c>
      <x:c r="F24" s="70" t="str">
        <x:v>لم ينفذ</x:v>
      </x:c>
      <x:c r="G24" s="70" t="str">
        <x:v>لا</x:v>
      </x:c>
    </x:row>
    <x:row r="25" ht="72" customHeight="1">
      <x:c r="A25" s="70" t="str">
        <x:v>T-20</x:v>
      </x:c>
      <x:c r="B25" s="70" t="str">
        <x:v>Compensation</x:v>
      </x:c>
      <x:c r="C25" s="70" t="str">
        <x:v>تسجيل حالة تعويض تشغيلية دون إنشاء ledger/accounting/GL.</x:v>
      </x:c>
      <x:c r="D25" s="70" t="str">
        <x:v>اختبار حدود النطاق وموافقة policy.</x:v>
      </x:c>
      <x:c r="E25" s="70" t="str">
        <x:v>عالٍ</x:v>
      </x:c>
      <x:c r="F25" s="70" t="str">
        <x:v>محجوب بسياسة التعويض</x:v>
      </x:c>
      <x:c r="G25" s="70" t="str">
        <x:v>لا</x:v>
      </x:c>
    </x:row>
    <x:row r="26" ht="72" customHeight="1">
      <x:c r="A26" s="70" t="str">
        <x:v>T-21</x:v>
      </x:c>
      <x:c r="B26" s="70" t="str">
        <x:v>Storage</x:v>
      </x:c>
      <x:c r="C26" s="70" t="str">
        <x:v>الأصول والمرفقات الخاصة/العامة وسياسات download/upload تعمل وفق الدور.</x:v>
      </x:c>
      <x:c r="D26" s="70" t="str">
        <x:v>اختبارات RLS وStorage signed/public URLs.</x:v>
      </x:c>
      <x:c r="E26" s="70" t="str">
        <x:v>حرج</x:v>
      </x:c>
      <x:c r="F26" s="70" t="str">
        <x:v>لم ينفذ</x:v>
      </x:c>
      <x:c r="G26" s="70" t="str">
        <x:v>لا</x:v>
      </x:c>
    </x:row>
    <x:row r="27" ht="72" customHeight="1">
      <x:c r="A27" s="70" t="str">
        <x:v>T-22</x:v>
      </x:c>
      <x:c r="B27" s="70" t="str">
        <x:v>Notifications</x:v>
      </x:c>
      <x:c r="C27" s="70" t="str">
        <x:v>in-app يعمل؛ email/WhatsApp لا يرسلان قبل تحديد provider/config/secrets.</x:v>
      </x:c>
      <x:c r="D27" s="70" t="str">
        <x:v>سجل اختبار للإشعارات الداخلية؛ اختبار خارجي مستقل بعد قرار المزود.</x:v>
      </x:c>
      <x:c r="E27" s="70" t="str">
        <x:v>متوسط</x:v>
      </x:c>
      <x:c r="F27" s="70" t="str">
        <x:v>محجوب بالمزود</x:v>
      </x:c>
      <x:c r="G27" s="70" t="str">
        <x:v>لا</x:v>
      </x:c>
    </x:row>
    <x:row r="28" ht="72" customHeight="1">
      <x:c r="A28" s="70" t="str">
        <x:v>T-23</x:v>
      </x:c>
      <x:c r="B28" s="70" t="str">
        <x:v>Reporting/Export</x:v>
      </x:c>
      <x:c r="C28" s="70" t="str">
        <x:v>تصدير CSV/XLSX/JSON/PDF يطابق الفلاتر وقيود الصلاحيات.</x:v>
      </x:c>
      <x:c r="D28" s="70" t="str">
        <x:v>ملفات اختبار وتطابق row counts والحقول/الخصوصية.</x:v>
      </x:c>
      <x:c r="E28" s="70" t="str">
        <x:v>عالٍ</x:v>
      </x:c>
      <x:c r="F28" s="70" t="str">
        <x:v>لم ينفذ</x:v>
      </x:c>
      <x:c r="G28" s="70" t="str">
        <x:v>لا</x:v>
      </x:c>
    </x:row>
    <x:row r="29" ht="72" customHeight="1">
      <x:c r="A29" s="70" t="str">
        <x:v>T-24</x:v>
      </x:c>
      <x:c r="B29" s="70" t="str">
        <x:v>Role dashboards</x:v>
      </x:c>
      <x:c r="C29" s="70" t="str">
        <x:v>Dashboard بحسب الدور الفعلي، ومنع الوصول المباشر إلى URLs/RPC غير المصرح بها.</x:v>
      </x:c>
      <x:c r="D29" s="70" t="str">
        <x:v>مصفوفة أدوار وصور/نتائج API.</x:v>
      </x:c>
      <x:c r="E29" s="70" t="str">
        <x:v>عالٍ</x:v>
      </x:c>
      <x:c r="F29" s="70" t="str">
        <x:v>محجوب بقرار الدور</x:v>
      </x:c>
      <x:c r="G29" s="70" t="str">
        <x:v>لا</x:v>
      </x:c>
    </x:row>
    <x:row r="30" ht="72" customHeight="1">
      <x:c r="A30" s="70" t="str">
        <x:v>T-25</x:v>
      </x:c>
      <x:c r="B30" s="70" t="str">
        <x:v>Data Quality/Genealogy</x:v>
      </x:c>
      <x:c r="C30" s="70" t="str">
        <x:v>الكشف عن السجلات الناقصة وتتبع Serial إلى Order/BOM/Routing/Print/Warranty/Service/Replacement.</x:v>
      </x:c>
      <x:c r="D30" s="70" t="str">
        <x:v>تقرير عيوب/روابط لا يصلح البيانات تلقائيًا دون موافقة.</x:v>
      </x:c>
      <x:c r="E30" s="70" t="str">
        <x:v>متوسط</x:v>
      </x:c>
      <x:c r="F30" s="70" t="str">
        <x:v>مسترجع — النطاق يحتاج اعتماد</x:v>
      </x:c>
      <x:c r="G30" s="70" t="str">
        <x:v>لا</x:v>
      </x:c>
    </x:row>
    <x:row r="31" ht="72" customHeight="1">
      <x:c r="A31" s="70" t="str">
        <x:v>T-26</x:v>
      </x:c>
      <x:c r="B31" s="70" t="str">
        <x:v>Release backup</x:v>
      </x:c>
      <x:c r="C31" s="70" t="str">
        <x:v>حفظ release ZIP/checksum والنسخة المصدرية ونسخة قاعدة البيانات قبل migration.</x:v>
      </x:c>
      <x:c r="D31" s="70" t="str">
        <x:v>قائمة ملفات وأرقام SHA-256 وسجل موافقة rollback.</x:v>
      </x:c>
      <x:c r="E31" s="70" t="str">
        <x:v>حرج</x:v>
      </x:c>
      <x:c r="F31" s="70" t="str">
        <x:v>لم ينفذ</x:v>
      </x:c>
      <x:c r="G31" s="70" t="str">
        <x:v>لا</x:v>
      </x:c>
    </x:row>
  </x:sheetData>
  <x:mergeCells>
    <x:mergeCell ref="A1:G1"/>
    <x:mergeCell ref="A2:G2"/>
  </x:mergeCells>
  <x:dataValidations count="2">
    <x:dataValidation type="list" sqref="F5:F31">
      <x:formula1>"لم ينفذ,ناجح,فاشل,محجوب,غير منطبق"</x:formula1>
    </x:dataValidation>
    <x:dataValidation type="list" sqref="E5:E31">
      <x:formula1>"حرج,عالٍ,متوسط,منخفض"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15c554df8b42eb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23" hidden="0" customWidth="1"/>
    <x:col min="4" max="4" width="21" hidden="0" customWidth="1"/>
    <x:col min="5" max="5" width="43" hidden="0" customWidth="1"/>
    <x:col min="6" max="6" width="31" hidden="0" customWidth="1"/>
    <x:col min="7" max="7" width="43" hidden="0" customWidth="1"/>
  </x:cols>
  <x:sheetData>
    <x:row r="1" ht="32" customHeight="1">
      <x:c r="A1" s="6" t="str">
        <x:v>أمثلة تصنيع ومقاسات من المصادر</x:v>
      </x:c>
      <x:c r="B1" s="6"/>
      <x:c r="C1" s="6"/>
      <x:c r="D1" s="6"/>
      <x:c r="E1" s="6"/>
      <x:c r="F1" s="6"/>
      <x:c r="G1" s="6"/>
    </x:row>
    <x:row r="2" ht="34" customHeight="1">
      <x:c r="A2" s="16" t="str">
        <x:v>أمثلة مصدرية للمراجعة فقط؛ لا تحول قيمة خاصة بموديل إلى قاعدة عامة.</x:v>
      </x:c>
      <x:c r="B2" s="16"/>
      <x:c r="C2" s="16"/>
      <x:c r="D2" s="16"/>
      <x:c r="E2" s="16"/>
      <x:c r="F2" s="16"/>
      <x:c r="G2" s="16"/>
    </x:row>
    <x:row r="4" ht="34" customHeight="1">
      <x:c r="A4" s="63" t="str">
        <x:v>العلامة</x:v>
      </x:c>
      <x:c r="B4" s="63" t="str">
        <x:v>الموديل</x:v>
      </x:c>
      <x:c r="C4" s="63" t="str">
        <x:v>مقاس مرجعي</x:v>
      </x:c>
      <x:c r="D4" s="63" t="str">
        <x:v>المكوّن</x:v>
      </x:c>
      <x:c r="E4" s="63" t="str">
        <x:v>المقاس/القيمة</x:v>
      </x:c>
      <x:c r="F4" s="63" t="str">
        <x:v>المصدر</x:v>
      </x:c>
      <x:c r="G4" s="63" t="str">
        <x:v>التحفظ / القرار</x:v>
      </x:c>
    </x:row>
    <x:row r="5" ht="63" customHeight="1">
      <x:c r="A5" s="70" t="str">
        <x:v>Comfort</x:v>
      </x:c>
      <x:c r="B5" s="70" t="str">
        <x:v>Tranquility 30 German</x:v>
      </x:c>
      <x:c r="C5" s="70" t="str">
        <x:v>100×200 cm final example</x:v>
      </x:c>
      <x:c r="D5" s="70" t="str">
        <x:v>Length patch</x:v>
      </x:c>
      <x:c r="E5" s="70" t="str">
        <x:v>198×17×7 cm</x:v>
      </x:c>
      <x:c r="F5" s="70" t="str">
        <x:v>Models BOM.xlsx / conversation record</x:v>
      </x:c>
      <x:c r="G5" s="70" t="str">
        <x:v>Specific example; do not generalize.</x:v>
      </x:c>
    </x:row>
    <x:row r="6" ht="63" customHeight="1">
      <x:c r="A6" s="70" t="str">
        <x:v>Comfort</x:v>
      </x:c>
      <x:c r="B6" s="70" t="str">
        <x:v>Tranquility 30 German</x:v>
      </x:c>
      <x:c r="C6" s="70" t="str">
        <x:v>100×200 cm final example</x:v>
      </x:c>
      <x:c r="D6" s="70" t="str">
        <x:v>Width patch</x:v>
      </x:c>
      <x:c r="E6" s="70" t="str">
        <x:v>86×17×7 cm</x:v>
      </x:c>
      <x:c r="F6" s="70" t="str">
        <x:v>Models BOM.xlsx / conversation record</x:v>
      </x:c>
      <x:c r="G6" s="70" t="str">
        <x:v>86 cm reflects this model only.</x:v>
      </x:c>
    </x:row>
    <x:row r="7" ht="63" customHeight="1">
      <x:c r="A7" s="70" t="str">
        <x:v>Sleepee</x:v>
      </x:c>
      <x:c r="B7" s="70" t="str">
        <x:v>Romance 33 German Pocket</x:v>
      </x:c>
      <x:c r="C7" s="70" t="str">
        <x:v>100×200 cm final example</x:v>
      </x:c>
      <x:c r="D7" s="70" t="str">
        <x:v>Length patch</x:v>
      </x:c>
      <x:c r="E7" s="70" t="str">
        <x:v>198×17×10 cm</x:v>
      </x:c>
      <x:c r="F7" s="70" t="str">
        <x:v>Models BOM.xlsx / conversation record</x:v>
      </x:c>
      <x:c r="G7" s="70" t="str">
        <x:v>Model-specific value.</x:v>
      </x:c>
    </x:row>
    <x:row r="8" ht="63" customHeight="1">
      <x:c r="A8" s="70" t="str">
        <x:v>Sleepee</x:v>
      </x:c>
      <x:c r="B8" s="70" t="str">
        <x:v>Romance 33 German Pocket</x:v>
      </x:c>
      <x:c r="C8" s="70" t="str">
        <x:v>100×200 cm final example</x:v>
      </x:c>
      <x:c r="D8" s="70" t="str">
        <x:v>Width patch</x:v>
      </x:c>
      <x:c r="E8" s="70" t="str">
        <x:v>78×17×10 cm</x:v>
      </x:c>
      <x:c r="F8" s="70" t="str">
        <x:v>Models BOM.xlsx / conversation record</x:v>
      </x:c>
      <x:c r="G8" s="70" t="str">
        <x:v>Not a global subtraction rule.</x:v>
      </x:c>
    </x:row>
    <x:row r="9" ht="63" customHeight="1">
      <x:c r="A9" s="70" t="str">
        <x:v>Sleepee</x:v>
      </x:c>
      <x:c r="B9" s="70" t="str">
        <x:v>Regesty 30 Pocket American Pillow Top</x:v>
      </x:c>
      <x:c r="C9" s="70" t="str">
        <x:v>100×200 cm reference example</x:v>
      </x:c>
      <x:c r="D9" s="70" t="str">
        <x:v>Foam layers / wing-wall construction</x:v>
      </x:c>
      <x:c r="E9" s="70" t="str">
        <x:v>Some foam layers 98×198 cm; wing + wall group</x:v>
      </x:c>
      <x:c r="F9" s="70" t="str">
        <x:v>Models BOM.xlsx / earlier review</x:v>
      </x:c>
      <x:c r="G9" s="70" t="str">
        <x:v>Foam dimensions do not prove chassis dimensions.</x:v>
      </x:c>
    </x:row>
    <x:row r="10" ht="63" customHeight="1">
      <x:c r="A10" s="70" t="str">
        <x:v>SH</x:v>
      </x:c>
      <x:c r="B10" s="70" t="str">
        <x:v>Rrstcalm</x:v>
      </x:c>
      <x:c r="C10" s="70" t="str">
        <x:v>100×200 cm reference example</x:v>
      </x:c>
      <x:c r="D10" s="70" t="str">
        <x:v>Width patch</x:v>
      </x:c>
      <x:c r="E10" s="70" t="str">
        <x:v>Code 228KN17X78X10 implies 78; description/quantity suggest two 80×17×10 pieces</x:v>
      </x:c>
      <x:c r="F10" s="70" t="str">
        <x:v>Models BOM.xlsx / review v1.2</x:v>
      </x:c>
      <x:c r="G10" s="70" t="str">
        <x:v>Open decision MFG-04; preserve original values.</x:v>
      </x:c>
    </x:row>
    <x:row r="11" ht="63" customHeight="1">
      <x:c r="A11" s="70" t="str">
        <x:v>SH</x:v>
      </x:c>
      <x:c r="B11" s="70" t="str">
        <x:v>Rrstcalm</x:v>
      </x:c>
      <x:c r="C11" s="70" t="str">
        <x:v>100×200 cm reference example</x:v>
      </x:c>
      <x:c r="D11" s="70" t="str">
        <x:v>HR Foam / Memory Foam</x:v>
      </x:c>
      <x:c r="E11" s="70" t="str">
        <x:v>Internal filling layers, not patches</x:v>
      </x:c>
      <x:c r="F11" s="70" t="str">
        <x:v>Owner clarification / review v1.2</x:v>
      </x:c>
      <x:c r="G11" s="70" t="str">
        <x:v>Do not classify as patches.</x:v>
      </x:c>
    </x:row>
    <x:row r="12" ht="63" customHeight="1">
      <x:c r="A12" s="70" t="str">
        <x:v>General</x:v>
      </x:c>
      <x:c r="B12" s="70" t="str">
        <x:v>American chassis example</x:v>
      </x:c>
      <x:c r="C12" s="70" t="str">
        <x:v>Finished mattress 100×200 cm</x:v>
      </x:c>
      <x:c r="D12" s="70" t="str">
        <x:v>Chassis target vs measured</x:v>
      </x:c>
      <x:c r="E12" s="70" t="str">
        <x:v>Target 97×197 cm; actual may be 98×198 cm; 2–3 cm tolerance discussed</x:v>
      </x:c>
      <x:c r="F12" s="70" t="str">
        <x:v>Review v1.2</x:v>
      </x:c>
      <x:c r="G12" s="70" t="str">
        <x:v>Keep target and actual separate.</x:v>
      </x:c>
    </x:row>
    <x:row r="13" ht="63" customHeight="1">
      <x:c r="A13" s="70" t="str">
        <x:v>General</x:v>
      </x:c>
      <x:c r="B13" s="70" t="str">
        <x:v>Frame thickness</x:v>
      </x:c>
      <x:c r="C13" s="70" t="str">
        <x:v>Relevant models only</x:v>
      </x:c>
      <x:c r="D13" s="70" t="str">
        <x:v>Frame</x:v>
      </x:c>
      <x:c r="E13" s="70" t="str">
        <x:v>5 mm correct; commercial example ~4.85 mm</x:v>
      </x:c>
      <x:c r="F13" s="70" t="str">
        <x:v>Review v1.2</x:v>
      </x:c>
      <x:c r="G13" s="70" t="str">
        <x:v>Earlier 5 cm value was an error.</x:v>
      </x:c>
    </x:row>
    <x:row r="14" ht="63" customHeight="1">
      <x:c r="A14" s="70" t="str">
        <x:v>General</x:v>
      </x:c>
      <x:c r="B14" s="70" t="str">
        <x:v>Operating time — owner clarification</x:v>
      </x:c>
      <x:c r="C14" s="70" t="str">
        <x:v>Per model / forming line</x:v>
      </x:c>
      <x:c r="D14" s="70" t="str">
        <x:v>Operating time &amp; output quantity</x:v>
      </x:c>
      <x:c r="E14" s="70" t="str">
        <x:v>Example given by owner: Infinity = 57 minutes for 9 mattresses using the 9 upholstery/assembly tables; not 1 mattress per 57 minutes. Do not apply output quantity 9 to every model without source confirmation.</x:v>
      </x:c>
      <x:c r="F14" s="70" t="str">
        <x:v>Owner clarification + Models BOM.xlsx / operating-time source</x:v>
      </x:c>
      <x:c r="G14" s="70" t="str">
        <x:v>Keep source time and source output quantity separate. Five actual departments differ from SAP grouping; do not guess per-department splits. Reconcile 9 section tables vs 10 total tables before capacity calculations.</x:v>
      </x:c>
    </x:row>
    <x:row r="15" ht="63" customHeight="1">
      <x:c r="A15" s="70" t="str">
        <x:v>General</x:v>
      </x:c>
      <x:c r="B15" s="70" t="str">
        <x:v>Operating time</x:v>
      </x:c>
      <x:c r="C15" s="70" t="str">
        <x:v>Source row 45 in standalone workbook</x:v>
      </x:c>
      <x:c r="D15" s="70" t="str">
        <x:v>Unnamed row</x:v>
      </x:c>
      <x:c r="E15" s="70" t="str">
        <x:v>150 in Feb, blank product name</x:v>
      </x:c>
      <x:c r="F15" s="70" t="str">
        <x:v>وقت التشغيل.xlsx row 45</x:v>
      </x:c>
      <x:c r="G15" s="70" t="str">
        <x:v>Do not assign automatically.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54a916e3b9d4bd9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0" hidden="0" customWidth="1"/>
    <x:col min="3" max="3" width="32" hidden="0" customWidth="1"/>
    <x:col min="4" max="4" width="51" hidden="0" customWidth="1"/>
    <x:col min="5" max="5" width="49" hidden="0" customWidth="1"/>
  </x:cols>
  <x:sheetData>
    <x:row r="1" ht="32" customHeight="1">
      <x:c r="A1" s="6" t="str">
        <x:v>فهرس المصادر وحالتها</x:v>
      </x:c>
      <x:c r="B1" s="6"/>
      <x:c r="C1" s="6"/>
      <x:c r="D1" s="6"/>
      <x:c r="E1" s="6"/>
    </x:row>
    <x:row r="2" ht="34" customHeight="1">
      <x:c r="A2" s="16" t="str">
        <x:v>وجود المصدر لا يعني اعتماد كل قيمه أو إثبات أن الوظيفة تعمل في البيئة الحية.</x:v>
      </x:c>
      <x:c r="B2" s="16"/>
      <x:c r="C2" s="16"/>
      <x:c r="D2" s="16"/>
      <x:c r="E2" s="16"/>
    </x:row>
    <x:row r="4" ht="34" customHeight="1">
      <x:c r="A4" s="63" t="str">
        <x:v>المصدر</x:v>
      </x:c>
      <x:c r="B4" s="63" t="str">
        <x:v>النوع</x:v>
      </x:c>
      <x:c r="C4" s="63" t="str">
        <x:v>النطاق/الوصف</x:v>
      </x:c>
      <x:c r="D4" s="63" t="str">
        <x:v>ما يدعمه</x:v>
      </x:c>
      <x:c r="E4" s="63" t="str">
        <x:v>الحدود</x:v>
      </x:c>
    </x:row>
    <x:row r="5" ht="64" customHeight="1">
      <x:c r="A5" s="70" t="str">
        <x:v>Sleepee_Single_Source_Of_Truth_v1.0_Portable_Reference(2).md</x:v>
      </x:c>
      <x:c r="B5" s="70" t="str">
        <x:v>مرجعية أساسية</x:v>
      </x:c>
      <x:c r="C5" s="70" t="str">
        <x:v>1206 lines</x:v>
      </x:c>
      <x:c r="D5" s="70" t="str">
        <x:v>قواعد العمل والكتالوج والحالات وأرقام التعريف والتقنية</x:v>
      </x:c>
      <x:c r="E5" s="70" t="str">
        <x:v>حاكم؛ لا يُعدّل.</x:v>
      </x:c>
    </x:row>
    <x:row r="6" ht="64" customHeight="1">
      <x:c r="A6" s="70" t="str">
        <x:v>Sleepee_Consolidated_Requirements_Review_v1.2(2).md/.docx</x:v>
      </x:c>
      <x:c r="B6" s="70" t="str">
        <x:v>ملحق مراجعة</x:v>
      </x:c>
      <x:c r="C6" s="70" t="str">
        <x:v>Review date 2026-10-10</x:v>
      </x:c>
      <x:c r="D6" s="70" t="str">
        <x:v>توضيحات المالك والفجوات ونتائج فحص ZIP</x:v>
      </x:c>
      <x:c r="E6" s="70" t="str">
        <x:v>مسودة/ملحق منفصل لا يستبدل SSoT.</x:v>
      </x:c>
    </x:row>
    <x:row r="7" ht="64" customHeight="1">
      <x:c r="A7" s="70" t="str">
        <x:v>Sleepee_Review_Register_v1.2(2).xlsx</x:v>
      </x:c>
      <x:c r="B7" s="70" t="str">
        <x:v>سجل قرارات ونواقص</x:v>
      </x:c>
      <x:c r="C7" s="70" t="str">
        <x:v>6 sheets</x:v>
      </x:c>
      <x:c r="D7" s="70" t="str">
        <x:v>الحالات المؤكدة والمعلقة والمصادر والاختبارات</x:v>
      </x:c>
      <x:c r="E7" s="70" t="str">
        <x:v>يُدمج مضمونه في هذا السجل؛ لا يغيّر المصادر.</x:v>
      </x:c>
    </x:row>
    <x:row r="8" ht="64" customHeight="1">
      <x:c r="A8" s="70" t="str">
        <x:v>Sleepee_Consolidated_Requirements_Reference_DRAFT_v1.0.docx</x:v>
      </x:c>
      <x:c r="B8" s="70" t="str">
        <x:v>مسودة تجميع سابقة</x:v>
      </x:c>
      <x:c r="C8" s="70" t="str">
        <x:v>14 pages</x:v>
      </x:c>
      <x:c r="D8" s="70" t="str">
        <x:v>Routing/BOM/CS/Printing/Reports والبوابات</x:v>
      </x:c>
      <x:c r="E8" s="70" t="str">
        <x:v>مادة مرجعية للمراجعة، ليست اعتمادًا.</x:v>
      </x:c>
    </x:row>
    <x:row r="9" ht="64" customHeight="1">
      <x:c r="A9" s="70" t="str">
        <x:v>SLEEPEE_PLATFORM_PHASE_10_18_UNIFIED_v1.0(3).zip</x:v>
      </x:c>
      <x:c r="B9" s="70" t="str">
        <x:v>تنفيذ Phase 10–18</x:v>
      </x:c>
      <x:c r="C9" s="70" t="str">
        <x:v>Archive fingerprint matches earlier upload according to prior check</x:v>
      </x:c>
      <x:c r="D9" s="70" t="str">
        <x:v>دليل للكود/المهاجرات/الواجهات</x:v>
      </x:c>
      <x:c r="E9" s="70" t="str">
        <x:v>لا يثبت DB live; لا تدمج مع Phase 09 عشوائيًا.</x:v>
      </x:c>
    </x:row>
    <x:row r="10" ht="64" customHeight="1">
      <x:c r="A10" s="70" t="str">
        <x:v>sleepee-PHASE09_FIXED-v3(2).zip</x:v>
      </x:c>
      <x:c r="B10" s="70" t="str">
        <x:v>Phase 09 fixed package</x:v>
      </x:c>
      <x:c r="C10" s="70" t="str">
        <x:v>Separate variant</x:v>
      </x:c>
      <x:c r="D10" s="70" t="str">
        <x:v>ملفات schema/SQL/lockfiles/Phase09</x:v>
      </x:c>
      <x:c r="E10" s="70" t="str">
        <x:v>لا تشغل schema القديم على قاعدة حية دون مقارنة وموافقة.</x:v>
      </x:c>
    </x:row>
    <x:row r="11" ht="64" customHeight="1">
      <x:c r="A11" s="70" t="str">
        <x:v>Models BOM.xlsx</x:v>
      </x:c>
      <x:c r="B11" s="70" t="str">
        <x:v>BOM/engineering workbook</x:v>
      </x:c>
      <x:c r="C11" s="70" t="str">
        <x:v>50 sheets incl. model sheets and embedded time sheet</x:v>
      </x:c>
      <x:c r="D11" s="70" t="str">
        <x:v>المكونات والأكواد والكميات وأمثلة الموديلات</x:v>
      </x:c>
      <x:c r="E11" s="70" t="str">
        <x:v>لا تستخدم ورقة الأسعار كطلب costing.</x:v>
      </x:c>
    </x:row>
    <x:row r="12" ht="64" customHeight="1">
      <x:c r="A12" s="70" t="str">
        <x:v>وقت التشغيل.xlsx</x:v>
      </x:c>
      <x:c r="B12" s="70" t="str">
        <x:v>Operating-time workbook</x:v>
      </x:c>
      <x:c r="C12" s="70" t="str">
        <x:v>Sheet A1:N45</x:v>
      </x:c>
      <x:c r="D12" s="70" t="str">
        <x:v>قيم الزمن والإنتاج الشهري</x:v>
      </x:c>
      <x:c r="E12" s="70" t="str">
        <x:v>صف 45: 150 تحت Feb بلا اسم؛ لا ربط تلقائي.</x:v>
      </x:c>
    </x:row>
    <x:row r="13" ht="64" customHeight="1">
      <x:c r="A13" s="70" t="str">
        <x:v>توضيح الطبقات والحشو الداخلي.xlsx</x:v>
      </x:c>
      <x:c r="B13" s="70" t="str">
        <x:v>Engineering layer workbook</x:v>
      </x:c>
      <x:c r="C13" s="70" t="str">
        <x:v>A1:L1075; 23 model headers noted in prior review</x:v>
      </x:c>
      <x:c r="D13" s="70" t="str">
        <x:v>تركيب الطبقات والفروق الهندسية</x:v>
      </x:c>
      <x:c r="E13" s="70" t="str">
        <x:v>لا تخلط HR/Memory Foam مع patch types.</x:v>
      </x:c>
    </x:row>
    <x:row r="14" ht="64" customHeight="1">
      <x:c r="A14" s="70" t="str">
        <x:v>كل المواد الخام مصنع السست.xlsx</x:v>
      </x:c>
      <x:c r="B14" s="70" t="str">
        <x:v>Material master</x:v>
      </x:c>
      <x:c r="C14" s="70" t="str">
        <x:v>Data A1:P252</x:v>
      </x:c>
      <x:c r="D14" s="70" t="str">
        <x:v>الأكواد القديمة/الجديدة والأوصاف والمجموعات والوحدات</x:v>
      </x:c>
      <x:c r="E14" s="70" t="str">
        <x:v>قيم السعر/التقييم خارج النطاق.</x:v>
      </x:c>
    </x:row>
    <x:row r="15" ht="64" customHeight="1">
      <x:c r="A15" s="70" t="str">
        <x:v>EGYP RM FOR EDRAKY 23 MARCH 2025.xlsx</x:v>
      </x:c>
      <x:c r="B15" s="70" t="str">
        <x:v>SAP material mapping</x:v>
      </x:c>
      <x:c r="C15" s="70" t="str">
        <x:v>SAP KSA RM, 6F01 FOR SAP, 6F02 FOR SAP</x:v>
      </x:c>
      <x:c r="D15" s="70" t="str">
        <x:v>مرجع مواءمة خامات</x:v>
      </x:c>
      <x:c r="E15" s="70" t="str">
        <x:v>لا يعيد تسمية الأكواد الحالية تلقائيًا.</x:v>
      </x:c>
    </x:row>
    <x:row r="16" ht="64" customHeight="1">
      <x:c r="A16" s="70" t="str">
        <x:v>شروط ضمان - منتجات سليب هاي.docx</x:v>
      </x:c>
      <x:c r="B16" s="70" t="str">
        <x:v>SH warranty wording</x:v>
      </x:c>
      <x:c r="C16" s="70" t="str">
        <x:v>Source document</x:v>
      </x:c>
      <x:c r="D16" s="70" t="str">
        <x:v>تعليمات استخدام/ضمان/إرجاع/إصلاح</x:v>
      </x:c>
      <x:c r="E16" s="70" t="str">
        <x:v>تعارض تقليب شهر/3 أشهر؛ لا يعمم على العلامات.</x:v>
      </x:c>
    </x:row>
    <x:row r="17" ht="64" customHeight="1">
      <x:c r="A17" s="70" t="str">
        <x:v>Old conversation segments supplied by owner</x:v>
      </x:c>
      <x:c r="B17" s="70" t="str">
        <x:v>Recovered discussion</x:v>
      </x:c>
      <x:c r="C17" s="70" t="str">
        <x:v>Current conversation text</x:v>
      </x:c>
      <x:c r="D17" s="70" t="str">
        <x:v>Operational centers, wizards, print/label, BOM/routing, analytics, policy notes</x:v>
      </x:c>
      <x:c r="E17" s="70" t="str">
        <x:v>Requirements source; status shown individually in Requirements.</x:v>
      </x:c>
    </x:row>
    <x:row r="18" ht="64" customHeight="1">
      <x:c r="A18" s="70" t="str">
        <x:v>Sleepee_Technical_Audit_2026-10-10_AR.md</x:v>
      </x:c>
      <x:c r="B18" s="70" t="str">
        <x:v>Technical audit</x:v>
      </x:c>
      <x:c r="C18" s="70" t="str">
        <x:v>Generated prior review</x:v>
      </x:c>
      <x:c r="D18" s="70" t="str">
        <x:v>Findings and proposed tests</x:v>
      </x:c>
      <x:c r="E18" s="70" t="str">
        <x:v>Not live verification; use as prior evidence, not current DB claim.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797fb9880b6474a"/>
  </x:tableParts>
</x:worksheet>
</file>